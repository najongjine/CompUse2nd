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T:\02 업무\02 메일링 서비스\2026\6. 컴활2급_실기\00_원본\2026년 컴활2급 상시03\"/>
    </mc:Choice>
  </mc:AlternateContent>
  <xr:revisionPtr revIDLastSave="0" documentId="13_ncr:1_{56B0CF63-23CA-4E97-B7C0-B4709EDBFE70}" xr6:coauthVersionLast="47" xr6:coauthVersionMax="47" xr10:uidLastSave="{00000000-0000-0000-0000-000000000000}"/>
  <bookViews>
    <workbookView xWindow="-35110" yWindow="1620" windowWidth="23330" windowHeight="18390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4" r:id="rId4"/>
    <sheet name="분석작업-1" sheetId="11" r:id="rId5"/>
    <sheet name="분석작업-2" sheetId="14" r:id="rId6"/>
    <sheet name="매크로작업" sheetId="8" r:id="rId7"/>
    <sheet name="차트작업" sheetId="1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8" i="13"/>
  <c r="E7" i="13"/>
  <c r="E6" i="13"/>
  <c r="E5" i="13"/>
  <c r="E4" i="13"/>
  <c r="F16" i="10" l="1"/>
  <c r="F15" i="10"/>
  <c r="F14" i="10"/>
  <c r="F13" i="10"/>
  <c r="F12" i="10"/>
  <c r="F11" i="10"/>
  <c r="F10" i="10"/>
  <c r="F9" i="10"/>
  <c r="F8" i="10"/>
  <c r="F7" i="10"/>
  <c r="F6" i="10"/>
  <c r="F5" i="10"/>
  <c r="F4" i="10"/>
</calcChain>
</file>

<file path=xl/sharedStrings.xml><?xml version="1.0" encoding="utf-8"?>
<sst xmlns="http://schemas.openxmlformats.org/spreadsheetml/2006/main" count="285" uniqueCount="204">
  <si>
    <t>E-BOOK 판매 현황</t>
    <phoneticPr fontId="1" type="noConversion"/>
  </si>
  <si>
    <t>상공이사센터 계약 현황</t>
    <phoneticPr fontId="1" type="noConversion"/>
  </si>
  <si>
    <t>계약자</t>
    <phoneticPr fontId="1" type="noConversion"/>
  </si>
  <si>
    <t>이사일자</t>
    <phoneticPr fontId="1" type="noConversion"/>
  </si>
  <si>
    <t>지역</t>
    <phoneticPr fontId="1" type="noConversion"/>
  </si>
  <si>
    <t>종류</t>
    <phoneticPr fontId="1" type="noConversion"/>
  </si>
  <si>
    <t>물량(ton)</t>
    <phoneticPr fontId="1" type="noConversion"/>
  </si>
  <si>
    <t>작업인원</t>
    <phoneticPr fontId="1" type="noConversion"/>
  </si>
  <si>
    <t>이사비용</t>
    <phoneticPr fontId="1" type="noConversion"/>
  </si>
  <si>
    <t>장혜선</t>
  </si>
  <si>
    <t>서초</t>
    <phoneticPr fontId="1" type="noConversion"/>
  </si>
  <si>
    <t>가정</t>
    <phoneticPr fontId="1" type="noConversion"/>
  </si>
  <si>
    <t>우은하</t>
  </si>
  <si>
    <t>마포</t>
    <phoneticPr fontId="1" type="noConversion"/>
  </si>
  <si>
    <t>원룸</t>
    <phoneticPr fontId="1" type="noConversion"/>
  </si>
  <si>
    <t>한슬기</t>
    <phoneticPr fontId="1" type="noConversion"/>
  </si>
  <si>
    <t>용산</t>
    <phoneticPr fontId="1" type="noConversion"/>
  </si>
  <si>
    <t>이용규</t>
    <phoneticPr fontId="1" type="noConversion"/>
  </si>
  <si>
    <t>관악</t>
    <phoneticPr fontId="1" type="noConversion"/>
  </si>
  <si>
    <t>회사</t>
    <phoneticPr fontId="1" type="noConversion"/>
  </si>
  <si>
    <t>곽지운</t>
  </si>
  <si>
    <t>강서</t>
    <phoneticPr fontId="1" type="noConversion"/>
  </si>
  <si>
    <t>황성훈</t>
    <phoneticPr fontId="1" type="noConversion"/>
  </si>
  <si>
    <t>송파</t>
    <phoneticPr fontId="1" type="noConversion"/>
  </si>
  <si>
    <t>서유환</t>
  </si>
  <si>
    <t>도봉</t>
    <phoneticPr fontId="1" type="noConversion"/>
  </si>
  <si>
    <t>고인숙</t>
    <phoneticPr fontId="1" type="noConversion"/>
  </si>
  <si>
    <t>은평</t>
    <phoneticPr fontId="1" type="noConversion"/>
  </si>
  <si>
    <t>조광희</t>
    <phoneticPr fontId="1" type="noConversion"/>
  </si>
  <si>
    <t>종로</t>
    <phoneticPr fontId="1" type="noConversion"/>
  </si>
  <si>
    <t>김영택</t>
    <phoneticPr fontId="1" type="noConversion"/>
  </si>
  <si>
    <t>금천</t>
    <phoneticPr fontId="1" type="noConversion"/>
  </si>
  <si>
    <t>상공상사 제품 거래 현황</t>
    <phoneticPr fontId="1" type="noConversion"/>
  </si>
  <si>
    <t>거래일자</t>
    <phoneticPr fontId="1" type="noConversion"/>
  </si>
  <si>
    <t>거래처명</t>
    <phoneticPr fontId="1" type="noConversion"/>
  </si>
  <si>
    <t>제품코드</t>
    <phoneticPr fontId="1" type="noConversion"/>
  </si>
  <si>
    <t>단가</t>
    <phoneticPr fontId="1" type="noConversion"/>
  </si>
  <si>
    <t>수량</t>
    <phoneticPr fontId="1" type="noConversion"/>
  </si>
  <si>
    <t>총액</t>
    <phoneticPr fontId="1" type="noConversion"/>
  </si>
  <si>
    <t>대청유통</t>
    <phoneticPr fontId="1" type="noConversion"/>
  </si>
  <si>
    <t>D3-47-4822</t>
    <phoneticPr fontId="1" type="noConversion"/>
  </si>
  <si>
    <t>유일실업</t>
    <phoneticPr fontId="1" type="noConversion"/>
  </si>
  <si>
    <t>G9-80-3911</t>
    <phoneticPr fontId="1" type="noConversion"/>
  </si>
  <si>
    <t>유진상사</t>
    <phoneticPr fontId="1" type="noConversion"/>
  </si>
  <si>
    <t>N1-58-5463</t>
    <phoneticPr fontId="1" type="noConversion"/>
  </si>
  <si>
    <t>휴먼상사</t>
    <phoneticPr fontId="1" type="noConversion"/>
  </si>
  <si>
    <t>T3-12-1857</t>
    <phoneticPr fontId="1" type="noConversion"/>
  </si>
  <si>
    <t>대림유통</t>
    <phoneticPr fontId="1" type="noConversion"/>
  </si>
  <si>
    <t>E6-33-9004</t>
    <phoneticPr fontId="1" type="noConversion"/>
  </si>
  <si>
    <t>한성물산</t>
    <phoneticPr fontId="1" type="noConversion"/>
  </si>
  <si>
    <t>S5-03-3446</t>
    <phoneticPr fontId="1" type="noConversion"/>
  </si>
  <si>
    <t>원영무역</t>
    <phoneticPr fontId="1" type="noConversion"/>
  </si>
  <si>
    <t>H6-76-0281</t>
    <phoneticPr fontId="1" type="noConversion"/>
  </si>
  <si>
    <t>사원별 건강검진 결과</t>
    <phoneticPr fontId="1" type="noConversion"/>
  </si>
  <si>
    <t>사원명</t>
  </si>
  <si>
    <t>부서명</t>
  </si>
  <si>
    <t>키</t>
  </si>
  <si>
    <t>체중</t>
  </si>
  <si>
    <t>시력(좌/우)</t>
  </si>
  <si>
    <t>수축기혈압</t>
  </si>
  <si>
    <t>이완기혈압</t>
  </si>
  <si>
    <t>강호정</t>
  </si>
  <si>
    <t>개발부</t>
  </si>
  <si>
    <t>1.2/1.2</t>
  </si>
  <si>
    <t>김영택</t>
  </si>
  <si>
    <t>관리부</t>
  </si>
  <si>
    <t>0.8/0.7</t>
  </si>
  <si>
    <t>최성완</t>
  </si>
  <si>
    <t>자재부</t>
  </si>
  <si>
    <t>1.0/1.0</t>
  </si>
  <si>
    <t>김민재</t>
  </si>
  <si>
    <t>1.5/1.5</t>
  </si>
  <si>
    <t>고인숙</t>
  </si>
  <si>
    <t>0.1/0.2</t>
  </si>
  <si>
    <t>어수선</t>
  </si>
  <si>
    <t>0.7/0.7</t>
  </si>
  <si>
    <t>이부성</t>
  </si>
  <si>
    <t>김경아</t>
  </si>
  <si>
    <t>1.2.1.2</t>
  </si>
  <si>
    <t>박현종</t>
  </si>
  <si>
    <t>0.8/0.9</t>
  </si>
  <si>
    <t>조광희</t>
  </si>
  <si>
    <t>이수연</t>
  </si>
  <si>
    <t>0.4/0.4</t>
  </si>
  <si>
    <t>김서하</t>
  </si>
  <si>
    <t>0.3/0.2</t>
  </si>
  <si>
    <t>지점별 경비사용내역</t>
    <phoneticPr fontId="1" type="noConversion"/>
  </si>
  <si>
    <t>(단위 : 만원)</t>
    <phoneticPr fontId="1" type="noConversion"/>
  </si>
  <si>
    <t>지점</t>
    <phoneticPr fontId="1" type="noConversion"/>
  </si>
  <si>
    <t>활동비</t>
    <phoneticPr fontId="1" type="noConversion"/>
  </si>
  <si>
    <t>복리후생비</t>
    <phoneticPr fontId="1" type="noConversion"/>
  </si>
  <si>
    <t>잡비</t>
    <phoneticPr fontId="1" type="noConversion"/>
  </si>
  <si>
    <t>합계</t>
    <phoneticPr fontId="1" type="noConversion"/>
  </si>
  <si>
    <t>강동</t>
    <phoneticPr fontId="1" type="noConversion"/>
  </si>
  <si>
    <t>중구</t>
    <phoneticPr fontId="1" type="noConversion"/>
  </si>
  <si>
    <t>강남</t>
    <phoneticPr fontId="1" type="noConversion"/>
  </si>
  <si>
    <t>위해 신고 접수 현황</t>
    <phoneticPr fontId="1" type="noConversion"/>
  </si>
  <si>
    <t>분류</t>
    <phoneticPr fontId="1" type="noConversion"/>
  </si>
  <si>
    <t>2022년</t>
    <phoneticPr fontId="1" type="noConversion"/>
  </si>
  <si>
    <t>가공식품</t>
    <phoneticPr fontId="1" type="noConversion"/>
  </si>
  <si>
    <t>생활용품</t>
    <phoneticPr fontId="1" type="noConversion"/>
  </si>
  <si>
    <t>가전제품</t>
    <phoneticPr fontId="1" type="noConversion"/>
  </si>
  <si>
    <t>주방기기</t>
    <phoneticPr fontId="1" type="noConversion"/>
  </si>
  <si>
    <t>애완용품</t>
    <phoneticPr fontId="1" type="noConversion"/>
  </si>
  <si>
    <t>기타</t>
    <phoneticPr fontId="1" type="noConversion"/>
  </si>
  <si>
    <t>고객 관리 현황</t>
  </si>
  <si>
    <t>고객명</t>
  </si>
  <si>
    <t>성별</t>
  </si>
  <si>
    <t>총구입금액</t>
  </si>
  <si>
    <t>등급</t>
  </si>
  <si>
    <t>오종환</t>
  </si>
  <si>
    <t>남</t>
  </si>
  <si>
    <t>전선길</t>
  </si>
  <si>
    <t>신채아</t>
  </si>
  <si>
    <t>여</t>
  </si>
  <si>
    <t>한재훈</t>
  </si>
  <si>
    <t>최인영</t>
  </si>
  <si>
    <t>허이한</t>
  </si>
  <si>
    <t>유지선</t>
  </si>
  <si>
    <t>권민한</t>
  </si>
  <si>
    <t>문수빈</t>
  </si>
  <si>
    <t>[표1]</t>
    <phoneticPr fontId="1" type="noConversion"/>
  </si>
  <si>
    <t>컴활2급 시험 결과</t>
  </si>
  <si>
    <t>수험번호</t>
  </si>
  <si>
    <t>컴퓨터일반</t>
  </si>
  <si>
    <t>엑셀</t>
  </si>
  <si>
    <t>합격률</t>
  </si>
  <si>
    <t>[표2]</t>
    <phoneticPr fontId="1" type="noConversion"/>
  </si>
  <si>
    <t>회원관리현황</t>
  </si>
  <si>
    <t>회원코드</t>
  </si>
  <si>
    <t>지역</t>
  </si>
  <si>
    <t>1-K-320</t>
  </si>
  <si>
    <t xml:space="preserve"> 정회원 </t>
  </si>
  <si>
    <t>3-S-966</t>
  </si>
  <si>
    <t xml:space="preserve"> 준회원 </t>
  </si>
  <si>
    <t>8-B-415</t>
  </si>
  <si>
    <t>6-B-527</t>
  </si>
  <si>
    <t>2-S-605</t>
  </si>
  <si>
    <t>3-B-012</t>
  </si>
  <si>
    <t>9-K-048</t>
  </si>
  <si>
    <t>4-K-213</t>
  </si>
  <si>
    <t>&lt;지역코드표&gt;</t>
  </si>
  <si>
    <t>5-S-217</t>
  </si>
  <si>
    <t>코드</t>
  </si>
  <si>
    <t>S</t>
  </si>
  <si>
    <t>K</t>
  </si>
  <si>
    <t>B</t>
  </si>
  <si>
    <t>5-B-309</t>
  </si>
  <si>
    <t>서울</t>
  </si>
  <si>
    <t>경기</t>
  </si>
  <si>
    <t>부산</t>
  </si>
  <si>
    <t>[표3]</t>
    <phoneticPr fontId="1" type="noConversion"/>
  </si>
  <si>
    <t>일일 매출 현황</t>
    <phoneticPr fontId="1" type="noConversion"/>
  </si>
  <si>
    <t>제품명</t>
    <phoneticPr fontId="1" type="noConversion"/>
  </si>
  <si>
    <t>매출액</t>
    <phoneticPr fontId="1" type="noConversion"/>
  </si>
  <si>
    <t>종이컵</t>
    <phoneticPr fontId="1" type="noConversion"/>
  </si>
  <si>
    <t>사무용품</t>
    <phoneticPr fontId="1" type="noConversion"/>
  </si>
  <si>
    <t>포스트잇</t>
    <phoneticPr fontId="1" type="noConversion"/>
  </si>
  <si>
    <t>테이프</t>
    <phoneticPr fontId="1" type="noConversion"/>
  </si>
  <si>
    <t>가위</t>
    <phoneticPr fontId="1" type="noConversion"/>
  </si>
  <si>
    <t>물티슈</t>
    <phoneticPr fontId="1" type="noConversion"/>
  </si>
  <si>
    <t>화장지</t>
    <phoneticPr fontId="1" type="noConversion"/>
  </si>
  <si>
    <t>볼펜</t>
    <phoneticPr fontId="1" type="noConversion"/>
  </si>
  <si>
    <t>건전지</t>
    <phoneticPr fontId="1" type="noConversion"/>
  </si>
  <si>
    <t>사무용품 매출액 평균</t>
    <phoneticPr fontId="1" type="noConversion"/>
  </si>
  <si>
    <t>K리그 순위</t>
    <phoneticPr fontId="1" type="noConversion"/>
  </si>
  <si>
    <t>구단명</t>
    <phoneticPr fontId="1" type="noConversion"/>
  </si>
  <si>
    <t>승</t>
    <phoneticPr fontId="1" type="noConversion"/>
  </si>
  <si>
    <t>무</t>
    <phoneticPr fontId="1" type="noConversion"/>
  </si>
  <si>
    <t>패</t>
    <phoneticPr fontId="1" type="noConversion"/>
  </si>
  <si>
    <t>승점</t>
    <phoneticPr fontId="1" type="noConversion"/>
  </si>
  <si>
    <t>최종결과</t>
    <phoneticPr fontId="1" type="noConversion"/>
  </si>
  <si>
    <t>서울FC</t>
    <phoneticPr fontId="1" type="noConversion"/>
  </si>
  <si>
    <t>강원FC</t>
    <phoneticPr fontId="1" type="noConversion"/>
  </si>
  <si>
    <t>인천FC</t>
    <phoneticPr fontId="1" type="noConversion"/>
  </si>
  <si>
    <t>전북FC</t>
    <phoneticPr fontId="1" type="noConversion"/>
  </si>
  <si>
    <t>상주FC</t>
    <phoneticPr fontId="1" type="noConversion"/>
  </si>
  <si>
    <t>수원FC</t>
    <phoneticPr fontId="1" type="noConversion"/>
  </si>
  <si>
    <t>포항FC</t>
    <phoneticPr fontId="1" type="noConversion"/>
  </si>
  <si>
    <t>울산FC</t>
    <phoneticPr fontId="1" type="noConversion"/>
  </si>
  <si>
    <t>대구FC</t>
    <phoneticPr fontId="1" type="noConversion"/>
  </si>
  <si>
    <t>[표4]</t>
    <phoneticPr fontId="1" type="noConversion"/>
  </si>
  <si>
    <t>[표5]</t>
    <phoneticPr fontId="1" type="noConversion"/>
  </si>
  <si>
    <t>&lt;조건&gt;</t>
    <phoneticPr fontId="1" type="noConversion"/>
  </si>
  <si>
    <t>위생장갑</t>
    <phoneticPr fontId="1" type="noConversion"/>
  </si>
  <si>
    <t>2023년</t>
  </si>
  <si>
    <t>2024년</t>
  </si>
  <si>
    <t>2025년</t>
  </si>
  <si>
    <t>[표1] 백화점별 매장 운영 현황</t>
    <phoneticPr fontId="1" type="noConversion"/>
  </si>
  <si>
    <t>[표2] 마트별 매장 운영 현황</t>
    <phoneticPr fontId="1" type="noConversion"/>
  </si>
  <si>
    <t>패션</t>
    <phoneticPr fontId="1" type="noConversion"/>
  </si>
  <si>
    <t>생활</t>
    <phoneticPr fontId="1" type="noConversion"/>
  </si>
  <si>
    <t>식당</t>
    <phoneticPr fontId="1" type="noConversion"/>
  </si>
  <si>
    <t>우리백화점</t>
    <phoneticPr fontId="1" type="noConversion"/>
  </si>
  <si>
    <t>명성마트</t>
    <phoneticPr fontId="1" type="noConversion"/>
  </si>
  <si>
    <t>한국백화점</t>
    <phoneticPr fontId="1" type="noConversion"/>
  </si>
  <si>
    <t>유진마트</t>
    <phoneticPr fontId="1" type="noConversion"/>
  </si>
  <si>
    <t>대한백화점</t>
    <phoneticPr fontId="1" type="noConversion"/>
  </si>
  <si>
    <t>성운마트</t>
    <phoneticPr fontId="1" type="noConversion"/>
  </si>
  <si>
    <t>유명백화점</t>
    <phoneticPr fontId="1" type="noConversion"/>
  </si>
  <si>
    <t>대청마트</t>
    <phoneticPr fontId="1" type="noConversion"/>
  </si>
  <si>
    <t>하나백화점</t>
    <phoneticPr fontId="1" type="noConversion"/>
  </si>
  <si>
    <t>무한마트</t>
    <phoneticPr fontId="1" type="noConversion"/>
  </si>
  <si>
    <t>[표3] 지점별 매장 운영 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</si>
</sst>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#,##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177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2" fillId="0" borderId="1" xfId="2" applyBorder="1" applyAlignment="1">
      <alignment horizontal="center" vertical="center"/>
    </xf>
    <xf numFmtId="0" fontId="2" fillId="2" borderId="1" xfId="2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9" xfId="2" xr:uid="{DA27A2C8-F3EA-42B8-B6C8-D969645477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지역별 경비사용내역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활동비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565</c:v>
                </c:pt>
                <c:pt idx="1">
                  <c:v>426</c:v>
                </c:pt>
                <c:pt idx="2">
                  <c:v>513</c:v>
                </c:pt>
                <c:pt idx="3">
                  <c:v>388</c:v>
                </c:pt>
                <c:pt idx="4">
                  <c:v>684</c:v>
                </c:pt>
                <c:pt idx="5">
                  <c:v>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F-487A-BD6D-C56B2AA0ABA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복리후생비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469</c:v>
                </c:pt>
                <c:pt idx="1">
                  <c:v>354</c:v>
                </c:pt>
                <c:pt idx="2">
                  <c:v>426</c:v>
                </c:pt>
                <c:pt idx="3">
                  <c:v>322</c:v>
                </c:pt>
                <c:pt idx="4">
                  <c:v>568</c:v>
                </c:pt>
                <c:pt idx="5">
                  <c:v>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FF-487A-BD6D-C56B2AA0ABA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잡비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마포</c:v>
                </c:pt>
                <c:pt idx="1">
                  <c:v>강서</c:v>
                </c:pt>
                <c:pt idx="2">
                  <c:v>강동</c:v>
                </c:pt>
                <c:pt idx="3">
                  <c:v>중구</c:v>
                </c:pt>
                <c:pt idx="4">
                  <c:v>강남</c:v>
                </c:pt>
                <c:pt idx="5">
                  <c:v>서초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525</c:v>
                </c:pt>
                <c:pt idx="1">
                  <c:v>396</c:v>
                </c:pt>
                <c:pt idx="2">
                  <c:v>477</c:v>
                </c:pt>
                <c:pt idx="3">
                  <c:v>361</c:v>
                </c:pt>
                <c:pt idx="4">
                  <c:v>636</c:v>
                </c:pt>
                <c:pt idx="5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FF-487A-BD6D-C56B2AA0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346608"/>
        <c:axId val="447347440"/>
      </c:barChart>
      <c:catAx>
        <c:axId val="447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7440"/>
        <c:crosses val="autoZero"/>
        <c:auto val="1"/>
        <c:lblAlgn val="ctr"/>
        <c:lblOffset val="100"/>
        <c:noMultiLvlLbl val="0"/>
      </c:catAx>
      <c:valAx>
        <c:axId val="44734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7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A277D39-430B-4FEA-9028-D1BAF16AB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G8"/>
  <sheetViews>
    <sheetView tabSelected="1" workbookViewId="0"/>
  </sheetViews>
  <sheetFormatPr defaultRowHeight="17" x14ac:dyDescent="0.45"/>
  <cols>
    <col min="2" max="2" width="12.33203125" bestFit="1" customWidth="1"/>
    <col min="4" max="4" width="10.75" bestFit="1" customWidth="1"/>
  </cols>
  <sheetData>
    <row r="1" spans="1:7" x14ac:dyDescent="0.45">
      <c r="A1" t="s">
        <v>0</v>
      </c>
    </row>
    <row r="3" spans="1:7" x14ac:dyDescent="0.45">
      <c r="A3" s="1"/>
      <c r="B3" s="1"/>
      <c r="C3" s="1"/>
      <c r="D3" s="1"/>
      <c r="E3" s="1"/>
      <c r="F3" s="1"/>
      <c r="G3" s="1"/>
    </row>
    <row r="4" spans="1:7" x14ac:dyDescent="0.45">
      <c r="A4" s="1"/>
      <c r="B4" s="1"/>
      <c r="C4" s="1"/>
      <c r="D4" s="20"/>
      <c r="E4" s="3"/>
      <c r="F4" s="3"/>
      <c r="G4" s="1"/>
    </row>
    <row r="5" spans="1:7" x14ac:dyDescent="0.45">
      <c r="A5" s="1"/>
      <c r="B5" s="1"/>
      <c r="C5" s="1"/>
      <c r="D5" s="20"/>
      <c r="E5" s="3"/>
      <c r="F5" s="3"/>
      <c r="G5" s="1"/>
    </row>
    <row r="6" spans="1:7" x14ac:dyDescent="0.45">
      <c r="A6" s="1"/>
      <c r="B6" s="1"/>
      <c r="C6" s="1"/>
      <c r="D6" s="20"/>
      <c r="E6" s="3"/>
      <c r="F6" s="3"/>
      <c r="G6" s="1"/>
    </row>
    <row r="7" spans="1:7" x14ac:dyDescent="0.45">
      <c r="A7" s="1"/>
      <c r="B7" s="1"/>
      <c r="C7" s="1"/>
      <c r="D7" s="20"/>
      <c r="E7" s="3"/>
      <c r="F7" s="3"/>
      <c r="G7" s="1"/>
    </row>
    <row r="8" spans="1:7" x14ac:dyDescent="0.45">
      <c r="A8" s="1"/>
      <c r="B8" s="1"/>
      <c r="C8" s="1"/>
      <c r="D8" s="20"/>
      <c r="E8" s="3"/>
      <c r="F8" s="3"/>
      <c r="G8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8EB9-534D-44A2-BD54-B234F05ECBA2}">
  <dimension ref="A1:G13"/>
  <sheetViews>
    <sheetView workbookViewId="0"/>
  </sheetViews>
  <sheetFormatPr defaultRowHeight="17" x14ac:dyDescent="0.45"/>
  <cols>
    <col min="2" max="2" width="9.5" bestFit="1" customWidth="1"/>
    <col min="7" max="7" width="10.58203125" bestFit="1" customWidth="1"/>
  </cols>
  <sheetData>
    <row r="1" spans="1:7" x14ac:dyDescent="0.45">
      <c r="A1" t="s">
        <v>1</v>
      </c>
    </row>
    <row r="3" spans="1:7" x14ac:dyDescent="0.45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 x14ac:dyDescent="0.45">
      <c r="A4" s="1" t="s">
        <v>9</v>
      </c>
      <c r="B4" s="2">
        <v>46113</v>
      </c>
      <c r="C4" s="1" t="s">
        <v>10</v>
      </c>
      <c r="D4" s="1" t="s">
        <v>11</v>
      </c>
      <c r="E4" s="1">
        <v>7.5</v>
      </c>
      <c r="F4" s="1">
        <v>6</v>
      </c>
      <c r="G4" s="3">
        <v>2200000</v>
      </c>
    </row>
    <row r="5" spans="1:7" x14ac:dyDescent="0.45">
      <c r="A5" s="1" t="s">
        <v>12</v>
      </c>
      <c r="B5" s="2">
        <v>46115</v>
      </c>
      <c r="C5" s="1" t="s">
        <v>13</v>
      </c>
      <c r="D5" s="1" t="s">
        <v>14</v>
      </c>
      <c r="E5" s="1">
        <v>3</v>
      </c>
      <c r="F5" s="1">
        <v>3</v>
      </c>
      <c r="G5" s="3">
        <v>800000</v>
      </c>
    </row>
    <row r="6" spans="1:7" x14ac:dyDescent="0.45">
      <c r="A6" s="1" t="s">
        <v>15</v>
      </c>
      <c r="B6" s="2">
        <v>46116</v>
      </c>
      <c r="C6" s="1" t="s">
        <v>16</v>
      </c>
      <c r="D6" s="1" t="s">
        <v>11</v>
      </c>
      <c r="E6" s="1">
        <v>5</v>
      </c>
      <c r="F6" s="1">
        <v>5</v>
      </c>
      <c r="G6" s="3">
        <v>2000000</v>
      </c>
    </row>
    <row r="7" spans="1:7" x14ac:dyDescent="0.45">
      <c r="A7" s="1" t="s">
        <v>17</v>
      </c>
      <c r="B7" s="2">
        <v>46118</v>
      </c>
      <c r="C7" s="1" t="s">
        <v>18</v>
      </c>
      <c r="D7" s="1" t="s">
        <v>19</v>
      </c>
      <c r="E7" s="1">
        <v>12</v>
      </c>
      <c r="F7" s="1">
        <v>9</v>
      </c>
      <c r="G7" s="3">
        <v>3600000</v>
      </c>
    </row>
    <row r="8" spans="1:7" x14ac:dyDescent="0.45">
      <c r="A8" s="1" t="s">
        <v>20</v>
      </c>
      <c r="B8" s="2">
        <v>46118</v>
      </c>
      <c r="C8" s="1" t="s">
        <v>21</v>
      </c>
      <c r="D8" s="1" t="s">
        <v>11</v>
      </c>
      <c r="E8" s="1">
        <v>7.5</v>
      </c>
      <c r="F8" s="1">
        <v>6</v>
      </c>
      <c r="G8" s="3">
        <v>2200000</v>
      </c>
    </row>
    <row r="9" spans="1:7" x14ac:dyDescent="0.45">
      <c r="A9" s="1" t="s">
        <v>22</v>
      </c>
      <c r="B9" s="2">
        <v>46123</v>
      </c>
      <c r="C9" s="1" t="s">
        <v>23</v>
      </c>
      <c r="D9" s="1" t="s">
        <v>11</v>
      </c>
      <c r="E9" s="1">
        <v>8</v>
      </c>
      <c r="F9" s="1">
        <v>6</v>
      </c>
      <c r="G9" s="3">
        <v>2400000</v>
      </c>
    </row>
    <row r="10" spans="1:7" x14ac:dyDescent="0.45">
      <c r="A10" s="1" t="s">
        <v>24</v>
      </c>
      <c r="B10" s="2">
        <v>46124</v>
      </c>
      <c r="C10" s="1" t="s">
        <v>25</v>
      </c>
      <c r="D10" s="1" t="s">
        <v>19</v>
      </c>
      <c r="E10" s="1">
        <v>15</v>
      </c>
      <c r="F10" s="1">
        <v>12</v>
      </c>
      <c r="G10" s="3">
        <v>4200000</v>
      </c>
    </row>
    <row r="11" spans="1:7" x14ac:dyDescent="0.45">
      <c r="A11" s="1" t="s">
        <v>26</v>
      </c>
      <c r="B11" s="2">
        <v>46124</v>
      </c>
      <c r="C11" s="1" t="s">
        <v>27</v>
      </c>
      <c r="D11" s="1" t="s">
        <v>14</v>
      </c>
      <c r="E11" s="1">
        <v>2.5</v>
      </c>
      <c r="F11" s="1">
        <v>3</v>
      </c>
      <c r="G11" s="3">
        <v>700000</v>
      </c>
    </row>
    <row r="12" spans="1:7" x14ac:dyDescent="0.45">
      <c r="A12" s="1" t="s">
        <v>28</v>
      </c>
      <c r="B12" s="2">
        <v>46128</v>
      </c>
      <c r="C12" s="1" t="s">
        <v>29</v>
      </c>
      <c r="D12" s="1" t="s">
        <v>11</v>
      </c>
      <c r="E12" s="1">
        <v>5</v>
      </c>
      <c r="F12" s="1">
        <v>5</v>
      </c>
      <c r="G12" s="3">
        <v>2000000</v>
      </c>
    </row>
    <row r="13" spans="1:7" x14ac:dyDescent="0.45">
      <c r="A13" s="1" t="s">
        <v>30</v>
      </c>
      <c r="B13" s="2">
        <v>46131</v>
      </c>
      <c r="C13" s="1" t="s">
        <v>31</v>
      </c>
      <c r="D13" s="1" t="s">
        <v>19</v>
      </c>
      <c r="E13" s="1">
        <v>10</v>
      </c>
      <c r="F13" s="1">
        <v>8</v>
      </c>
      <c r="G13" s="3">
        <v>3200000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39CD7-D2D9-430F-A9C2-7E9A7A97E70C}">
  <dimension ref="A1:F24"/>
  <sheetViews>
    <sheetView workbookViewId="0">
      <selection sqref="A1:F1"/>
    </sheetView>
  </sheetViews>
  <sheetFormatPr defaultRowHeight="17" x14ac:dyDescent="0.45"/>
  <cols>
    <col min="1" max="1" width="11.08203125" customWidth="1"/>
    <col min="2" max="2" width="10.58203125" customWidth="1"/>
    <col min="3" max="3" width="11.58203125" customWidth="1"/>
    <col min="4" max="6" width="12.08203125" customWidth="1"/>
  </cols>
  <sheetData>
    <row r="1" spans="1:6" ht="21" x14ac:dyDescent="0.45">
      <c r="A1" s="22" t="s">
        <v>32</v>
      </c>
      <c r="B1" s="22"/>
      <c r="C1" s="22"/>
      <c r="D1" s="22"/>
      <c r="E1" s="22"/>
      <c r="F1" s="22"/>
    </row>
    <row r="3" spans="1:6" x14ac:dyDescent="0.45">
      <c r="A3" s="4" t="s">
        <v>33</v>
      </c>
      <c r="B3" s="4" t="s">
        <v>34</v>
      </c>
      <c r="C3" s="4" t="s">
        <v>35</v>
      </c>
      <c r="D3" s="4" t="s">
        <v>36</v>
      </c>
      <c r="E3" s="4" t="s">
        <v>37</v>
      </c>
      <c r="F3" s="4" t="s">
        <v>38</v>
      </c>
    </row>
    <row r="4" spans="1:6" x14ac:dyDescent="0.45">
      <c r="A4" s="5">
        <v>46145</v>
      </c>
      <c r="B4" s="4" t="s">
        <v>39</v>
      </c>
      <c r="C4" s="4" t="s">
        <v>40</v>
      </c>
      <c r="D4" s="6">
        <v>37500</v>
      </c>
      <c r="E4" s="6">
        <v>900</v>
      </c>
      <c r="F4" s="6">
        <f>D4*E4</f>
        <v>33750000</v>
      </c>
    </row>
    <row r="5" spans="1:6" x14ac:dyDescent="0.45">
      <c r="A5" s="5">
        <v>46145</v>
      </c>
      <c r="B5" s="4" t="s">
        <v>41</v>
      </c>
      <c r="C5" s="4" t="s">
        <v>42</v>
      </c>
      <c r="D5" s="6">
        <v>29400</v>
      </c>
      <c r="E5" s="6">
        <v>1000</v>
      </c>
      <c r="F5" s="6">
        <f t="shared" ref="F5:F16" si="0">D5*E5</f>
        <v>29400000</v>
      </c>
    </row>
    <row r="6" spans="1:6" x14ac:dyDescent="0.45">
      <c r="A6" s="5">
        <v>46145</v>
      </c>
      <c r="B6" s="4" t="s">
        <v>43</v>
      </c>
      <c r="C6" s="4" t="s">
        <v>44</v>
      </c>
      <c r="D6" s="6">
        <v>23100</v>
      </c>
      <c r="E6" s="6">
        <v>1100</v>
      </c>
      <c r="F6" s="6">
        <f t="shared" si="0"/>
        <v>25410000</v>
      </c>
    </row>
    <row r="7" spans="1:6" x14ac:dyDescent="0.45">
      <c r="A7" s="5">
        <v>46145</v>
      </c>
      <c r="B7" s="4" t="s">
        <v>45</v>
      </c>
      <c r="C7" s="4" t="s">
        <v>46</v>
      </c>
      <c r="D7" s="6">
        <v>30600</v>
      </c>
      <c r="E7" s="6">
        <v>950</v>
      </c>
      <c r="F7" s="6">
        <f t="shared" si="0"/>
        <v>29070000</v>
      </c>
    </row>
    <row r="8" spans="1:6" x14ac:dyDescent="0.45">
      <c r="A8" s="5">
        <v>46150</v>
      </c>
      <c r="B8" s="4" t="s">
        <v>47</v>
      </c>
      <c r="C8" s="4" t="s">
        <v>48</v>
      </c>
      <c r="D8" s="6">
        <v>27600</v>
      </c>
      <c r="E8" s="6">
        <v>900</v>
      </c>
      <c r="F8" s="6">
        <f t="shared" si="0"/>
        <v>24840000</v>
      </c>
    </row>
    <row r="9" spans="1:6" x14ac:dyDescent="0.45">
      <c r="A9" s="5">
        <v>46150</v>
      </c>
      <c r="B9" s="4" t="s">
        <v>49</v>
      </c>
      <c r="C9" s="4" t="s">
        <v>50</v>
      </c>
      <c r="D9" s="6">
        <v>32500</v>
      </c>
      <c r="E9" s="6">
        <v>1100</v>
      </c>
      <c r="F9" s="6">
        <f t="shared" si="0"/>
        <v>35750000</v>
      </c>
    </row>
    <row r="10" spans="1:6" x14ac:dyDescent="0.45">
      <c r="A10" s="5">
        <v>46150</v>
      </c>
      <c r="B10" s="4" t="s">
        <v>51</v>
      </c>
      <c r="C10" s="4" t="s">
        <v>52</v>
      </c>
      <c r="D10" s="6">
        <v>28800</v>
      </c>
      <c r="E10" s="6">
        <v>1500</v>
      </c>
      <c r="F10" s="6">
        <f t="shared" si="0"/>
        <v>43200000</v>
      </c>
    </row>
    <row r="11" spans="1:6" x14ac:dyDescent="0.45">
      <c r="A11" s="5">
        <v>46152</v>
      </c>
      <c r="B11" s="4" t="s">
        <v>39</v>
      </c>
      <c r="C11" s="4" t="s">
        <v>40</v>
      </c>
      <c r="D11" s="6">
        <v>37500</v>
      </c>
      <c r="E11" s="6">
        <v>1200</v>
      </c>
      <c r="F11" s="6">
        <f t="shared" si="0"/>
        <v>45000000</v>
      </c>
    </row>
    <row r="12" spans="1:6" x14ac:dyDescent="0.45">
      <c r="A12" s="5">
        <v>46152</v>
      </c>
      <c r="B12" s="4" t="s">
        <v>45</v>
      </c>
      <c r="C12" s="4" t="s">
        <v>46</v>
      </c>
      <c r="D12" s="6">
        <v>30600</v>
      </c>
      <c r="E12" s="6">
        <v>800</v>
      </c>
      <c r="F12" s="6">
        <f t="shared" si="0"/>
        <v>24480000</v>
      </c>
    </row>
    <row r="13" spans="1:6" x14ac:dyDescent="0.45">
      <c r="A13" s="5">
        <v>46156</v>
      </c>
      <c r="B13" s="4" t="s">
        <v>49</v>
      </c>
      <c r="C13" s="4" t="s">
        <v>50</v>
      </c>
      <c r="D13" s="6">
        <v>32500</v>
      </c>
      <c r="E13" s="6">
        <v>1250</v>
      </c>
      <c r="F13" s="6">
        <f t="shared" si="0"/>
        <v>40625000</v>
      </c>
    </row>
    <row r="14" spans="1:6" x14ac:dyDescent="0.45">
      <c r="A14" s="5">
        <v>46156</v>
      </c>
      <c r="B14" s="4" t="s">
        <v>41</v>
      </c>
      <c r="C14" s="4" t="s">
        <v>42</v>
      </c>
      <c r="D14" s="6">
        <v>29400</v>
      </c>
      <c r="E14" s="6">
        <v>900</v>
      </c>
      <c r="F14" s="6">
        <f t="shared" si="0"/>
        <v>26460000</v>
      </c>
    </row>
    <row r="15" spans="1:6" x14ac:dyDescent="0.45">
      <c r="A15" s="5">
        <v>46156</v>
      </c>
      <c r="B15" s="4" t="s">
        <v>47</v>
      </c>
      <c r="C15" s="4" t="s">
        <v>48</v>
      </c>
      <c r="D15" s="6">
        <v>27600</v>
      </c>
      <c r="E15" s="6">
        <v>1000</v>
      </c>
      <c r="F15" s="6">
        <f t="shared" si="0"/>
        <v>27600000</v>
      </c>
    </row>
    <row r="16" spans="1:6" x14ac:dyDescent="0.45">
      <c r="A16" s="5">
        <v>46156</v>
      </c>
      <c r="B16" s="4" t="s">
        <v>43</v>
      </c>
      <c r="C16" s="4" t="s">
        <v>44</v>
      </c>
      <c r="D16" s="6">
        <v>23100</v>
      </c>
      <c r="E16" s="6">
        <v>1150</v>
      </c>
      <c r="F16" s="6">
        <f t="shared" si="0"/>
        <v>26565000</v>
      </c>
    </row>
    <row r="19" spans="1:6" x14ac:dyDescent="0.45">
      <c r="A19" s="1"/>
      <c r="B19" s="1"/>
      <c r="C19" s="1"/>
    </row>
    <row r="20" spans="1:6" x14ac:dyDescent="0.45">
      <c r="A20" s="1"/>
      <c r="B20" s="1"/>
      <c r="C20" s="1"/>
    </row>
    <row r="21" spans="1:6" x14ac:dyDescent="0.45">
      <c r="A21" s="1"/>
      <c r="B21" s="1"/>
      <c r="C21" s="1"/>
    </row>
    <row r="24" spans="1:6" x14ac:dyDescent="0.45">
      <c r="A24" s="1"/>
      <c r="B24" s="1"/>
      <c r="C24" s="1"/>
      <c r="D24" s="1"/>
      <c r="E24" s="1"/>
      <c r="F24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I40"/>
  <sheetViews>
    <sheetView workbookViewId="0"/>
  </sheetViews>
  <sheetFormatPr defaultRowHeight="17" x14ac:dyDescent="0.45"/>
  <cols>
    <col min="3" max="3" width="10.58203125" bestFit="1" customWidth="1"/>
    <col min="7" max="7" width="10.4140625" bestFit="1" customWidth="1"/>
  </cols>
  <sheetData>
    <row r="1" spans="1:9" x14ac:dyDescent="0.45">
      <c r="A1" s="13" t="s">
        <v>121</v>
      </c>
      <c r="B1" s="14" t="s">
        <v>105</v>
      </c>
      <c r="F1" s="16" t="s">
        <v>127</v>
      </c>
      <c r="G1" s="14" t="s">
        <v>122</v>
      </c>
    </row>
    <row r="2" spans="1:9" x14ac:dyDescent="0.45">
      <c r="A2" s="4" t="s">
        <v>106</v>
      </c>
      <c r="B2" s="4" t="s">
        <v>107</v>
      </c>
      <c r="C2" s="4" t="s">
        <v>108</v>
      </c>
      <c r="D2" s="15" t="s">
        <v>109</v>
      </c>
      <c r="F2" s="4" t="s">
        <v>123</v>
      </c>
      <c r="G2" s="4" t="s">
        <v>124</v>
      </c>
      <c r="H2" s="4" t="s">
        <v>125</v>
      </c>
    </row>
    <row r="3" spans="1:9" x14ac:dyDescent="0.45">
      <c r="A3" s="4" t="s">
        <v>110</v>
      </c>
      <c r="B3" s="4" t="s">
        <v>111</v>
      </c>
      <c r="C3" s="6">
        <v>3524000</v>
      </c>
      <c r="D3" s="4"/>
      <c r="F3" s="4">
        <v>1270121</v>
      </c>
      <c r="G3" s="4">
        <v>92</v>
      </c>
      <c r="H3" s="4">
        <v>76</v>
      </c>
    </row>
    <row r="4" spans="1:9" x14ac:dyDescent="0.45">
      <c r="A4" s="4" t="s">
        <v>112</v>
      </c>
      <c r="B4" s="4" t="s">
        <v>111</v>
      </c>
      <c r="C4" s="6">
        <v>883000</v>
      </c>
      <c r="D4" s="4"/>
      <c r="F4" s="4">
        <v>1270122</v>
      </c>
      <c r="G4" s="4">
        <v>38</v>
      </c>
      <c r="H4" s="4">
        <v>55</v>
      </c>
    </row>
    <row r="5" spans="1:9" x14ac:dyDescent="0.45">
      <c r="A5" s="4" t="s">
        <v>113</v>
      </c>
      <c r="B5" s="4" t="s">
        <v>114</v>
      </c>
      <c r="C5" s="6">
        <v>1380000</v>
      </c>
      <c r="D5" s="4"/>
      <c r="F5" s="4">
        <v>1270123</v>
      </c>
      <c r="G5" s="4">
        <v>86</v>
      </c>
      <c r="H5" s="4">
        <v>92</v>
      </c>
    </row>
    <row r="6" spans="1:9" x14ac:dyDescent="0.45">
      <c r="A6" s="4" t="s">
        <v>115</v>
      </c>
      <c r="B6" s="4" t="s">
        <v>111</v>
      </c>
      <c r="C6" s="6">
        <v>4921000</v>
      </c>
      <c r="D6" s="4"/>
      <c r="F6" s="4">
        <v>1270124</v>
      </c>
      <c r="G6" s="4">
        <v>62</v>
      </c>
      <c r="H6" s="4">
        <v>48</v>
      </c>
    </row>
    <row r="7" spans="1:9" x14ac:dyDescent="0.45">
      <c r="A7" s="4" t="s">
        <v>116</v>
      </c>
      <c r="B7" s="4" t="s">
        <v>114</v>
      </c>
      <c r="C7" s="6">
        <v>1665000</v>
      </c>
      <c r="D7" s="4"/>
      <c r="F7" s="4">
        <v>1270125</v>
      </c>
      <c r="G7" s="4">
        <v>91</v>
      </c>
      <c r="H7" s="4">
        <v>93</v>
      </c>
    </row>
    <row r="8" spans="1:9" x14ac:dyDescent="0.45">
      <c r="A8" s="4" t="s">
        <v>117</v>
      </c>
      <c r="B8" s="4" t="s">
        <v>111</v>
      </c>
      <c r="C8" s="6">
        <v>967000</v>
      </c>
      <c r="D8" s="4"/>
      <c r="F8" s="4">
        <v>1270126</v>
      </c>
      <c r="G8" s="4">
        <v>49</v>
      </c>
      <c r="H8" s="4">
        <v>56</v>
      </c>
    </row>
    <row r="9" spans="1:9" x14ac:dyDescent="0.45">
      <c r="A9" s="4" t="s">
        <v>118</v>
      </c>
      <c r="B9" s="4" t="s">
        <v>114</v>
      </c>
      <c r="C9" s="6">
        <v>2498000</v>
      </c>
      <c r="D9" s="4"/>
      <c r="F9" s="4">
        <v>1270127</v>
      </c>
      <c r="G9" s="4">
        <v>89</v>
      </c>
      <c r="H9" s="4">
        <v>93</v>
      </c>
    </row>
    <row r="10" spans="1:9" x14ac:dyDescent="0.45">
      <c r="A10" s="4" t="s">
        <v>119</v>
      </c>
      <c r="B10" s="4" t="s">
        <v>111</v>
      </c>
      <c r="C10" s="6">
        <v>5240000</v>
      </c>
      <c r="D10" s="4"/>
      <c r="F10" s="4">
        <v>1270128</v>
      </c>
      <c r="G10" s="4">
        <v>67</v>
      </c>
      <c r="H10" s="4">
        <v>68</v>
      </c>
    </row>
    <row r="11" spans="1:9" x14ac:dyDescent="0.45">
      <c r="A11" s="4" t="s">
        <v>120</v>
      </c>
      <c r="B11" s="4" t="s">
        <v>114</v>
      </c>
      <c r="C11" s="6">
        <v>2012000</v>
      </c>
      <c r="D11" s="4"/>
      <c r="F11" s="23" t="s">
        <v>126</v>
      </c>
      <c r="G11" s="24"/>
      <c r="H11" s="7"/>
    </row>
    <row r="13" spans="1:9" x14ac:dyDescent="0.45">
      <c r="A13" s="16" t="s">
        <v>151</v>
      </c>
      <c r="B13" s="14" t="s">
        <v>128</v>
      </c>
      <c r="F13" s="16" t="s">
        <v>181</v>
      </c>
      <c r="G13" s="14" t="s">
        <v>152</v>
      </c>
    </row>
    <row r="14" spans="1:9" x14ac:dyDescent="0.45">
      <c r="A14" s="4" t="s">
        <v>129</v>
      </c>
      <c r="B14" s="4" t="s">
        <v>107</v>
      </c>
      <c r="C14" s="4" t="s">
        <v>109</v>
      </c>
      <c r="D14" s="15" t="s">
        <v>130</v>
      </c>
      <c r="F14" s="4" t="s">
        <v>97</v>
      </c>
      <c r="G14" s="4" t="s">
        <v>153</v>
      </c>
      <c r="H14" s="4" t="s">
        <v>37</v>
      </c>
      <c r="I14" s="4" t="s">
        <v>154</v>
      </c>
    </row>
    <row r="15" spans="1:9" x14ac:dyDescent="0.45">
      <c r="A15" s="4" t="s">
        <v>131</v>
      </c>
      <c r="B15" s="4" t="s">
        <v>114</v>
      </c>
      <c r="C15" s="4" t="s">
        <v>132</v>
      </c>
      <c r="D15" s="4"/>
      <c r="F15" s="4" t="s">
        <v>100</v>
      </c>
      <c r="G15" s="4" t="s">
        <v>155</v>
      </c>
      <c r="H15" s="4">
        <v>23</v>
      </c>
      <c r="I15" s="6">
        <v>41400</v>
      </c>
    </row>
    <row r="16" spans="1:9" x14ac:dyDescent="0.45">
      <c r="A16" s="4" t="s">
        <v>133</v>
      </c>
      <c r="B16" s="4" t="s">
        <v>111</v>
      </c>
      <c r="C16" s="4" t="s">
        <v>134</v>
      </c>
      <c r="D16" s="4"/>
      <c r="F16" s="4" t="s">
        <v>156</v>
      </c>
      <c r="G16" s="4" t="s">
        <v>157</v>
      </c>
      <c r="H16" s="4">
        <v>37</v>
      </c>
      <c r="I16" s="6">
        <v>74000</v>
      </c>
    </row>
    <row r="17" spans="1:9" x14ac:dyDescent="0.45">
      <c r="A17" s="4" t="s">
        <v>135</v>
      </c>
      <c r="B17" s="4" t="s">
        <v>111</v>
      </c>
      <c r="C17" s="4" t="s">
        <v>134</v>
      </c>
      <c r="D17" s="4"/>
      <c r="F17" s="4" t="s">
        <v>156</v>
      </c>
      <c r="G17" s="4" t="s">
        <v>158</v>
      </c>
      <c r="H17" s="4">
        <v>51</v>
      </c>
      <c r="I17" s="6">
        <v>84150</v>
      </c>
    </row>
    <row r="18" spans="1:9" x14ac:dyDescent="0.45">
      <c r="A18" s="4" t="s">
        <v>136</v>
      </c>
      <c r="B18" s="4" t="s">
        <v>114</v>
      </c>
      <c r="C18" s="4" t="s">
        <v>134</v>
      </c>
      <c r="D18" s="4"/>
      <c r="F18" s="4" t="s">
        <v>156</v>
      </c>
      <c r="G18" s="4" t="s">
        <v>159</v>
      </c>
      <c r="H18" s="4">
        <v>19</v>
      </c>
      <c r="I18" s="6">
        <v>23750</v>
      </c>
    </row>
    <row r="19" spans="1:9" x14ac:dyDescent="0.45">
      <c r="A19" s="4" t="s">
        <v>137</v>
      </c>
      <c r="B19" s="4" t="s">
        <v>111</v>
      </c>
      <c r="C19" s="4" t="s">
        <v>132</v>
      </c>
      <c r="D19" s="4"/>
      <c r="F19" s="4" t="s">
        <v>100</v>
      </c>
      <c r="G19" s="4" t="s">
        <v>160</v>
      </c>
      <c r="H19" s="4">
        <v>34</v>
      </c>
      <c r="I19" s="6">
        <v>74800</v>
      </c>
    </row>
    <row r="20" spans="1:9" x14ac:dyDescent="0.45">
      <c r="A20" s="4" t="s">
        <v>138</v>
      </c>
      <c r="B20" s="4" t="s">
        <v>114</v>
      </c>
      <c r="C20" s="4" t="s">
        <v>134</v>
      </c>
      <c r="D20" s="4"/>
      <c r="F20" s="4" t="s">
        <v>100</v>
      </c>
      <c r="G20" s="4" t="s">
        <v>161</v>
      </c>
      <c r="H20" s="4">
        <v>22</v>
      </c>
      <c r="I20" s="6">
        <v>79200</v>
      </c>
    </row>
    <row r="21" spans="1:9" x14ac:dyDescent="0.45">
      <c r="A21" s="4" t="s">
        <v>139</v>
      </c>
      <c r="B21" s="4" t="s">
        <v>114</v>
      </c>
      <c r="C21" s="4" t="s">
        <v>132</v>
      </c>
      <c r="D21" s="4"/>
      <c r="F21" s="4" t="s">
        <v>156</v>
      </c>
      <c r="G21" s="4" t="s">
        <v>162</v>
      </c>
      <c r="H21" s="4">
        <v>65</v>
      </c>
      <c r="I21" s="6">
        <v>71500</v>
      </c>
    </row>
    <row r="22" spans="1:9" x14ac:dyDescent="0.45">
      <c r="A22" s="4" t="s">
        <v>140</v>
      </c>
      <c r="B22" s="4" t="s">
        <v>114</v>
      </c>
      <c r="C22" s="4" t="s">
        <v>132</v>
      </c>
      <c r="D22" s="4"/>
      <c r="F22" s="4" t="s">
        <v>100</v>
      </c>
      <c r="G22" s="4" t="s">
        <v>163</v>
      </c>
      <c r="H22" s="4">
        <v>24</v>
      </c>
      <c r="I22" s="6">
        <v>84000</v>
      </c>
    </row>
    <row r="23" spans="1:9" x14ac:dyDescent="0.45">
      <c r="A23" s="4" t="s">
        <v>142</v>
      </c>
      <c r="B23" s="4" t="s">
        <v>111</v>
      </c>
      <c r="C23" s="4" t="s">
        <v>132</v>
      </c>
      <c r="D23" s="4"/>
      <c r="F23" s="4" t="s">
        <v>100</v>
      </c>
      <c r="G23" s="4" t="s">
        <v>184</v>
      </c>
      <c r="H23" s="4">
        <v>33</v>
      </c>
      <c r="I23" s="6">
        <v>75900</v>
      </c>
    </row>
    <row r="24" spans="1:9" x14ac:dyDescent="0.45">
      <c r="A24" s="4" t="s">
        <v>147</v>
      </c>
      <c r="B24" s="4" t="s">
        <v>111</v>
      </c>
      <c r="C24" s="4" t="s">
        <v>134</v>
      </c>
      <c r="D24" s="4"/>
      <c r="F24" s="23" t="s">
        <v>164</v>
      </c>
      <c r="G24" s="25"/>
      <c r="H24" s="24"/>
      <c r="I24" s="6"/>
    </row>
    <row r="25" spans="1:9" x14ac:dyDescent="0.45">
      <c r="A25" s="19"/>
      <c r="B25" s="19"/>
      <c r="C25" s="19"/>
      <c r="D25" s="19"/>
      <c r="F25" s="19"/>
      <c r="G25" s="19"/>
      <c r="H25" s="19"/>
      <c r="I25" s="19"/>
    </row>
    <row r="26" spans="1:9" x14ac:dyDescent="0.45">
      <c r="A26" t="s">
        <v>141</v>
      </c>
      <c r="F26" s="1" t="s">
        <v>183</v>
      </c>
      <c r="G26" s="19"/>
      <c r="H26" s="19"/>
      <c r="I26" s="19"/>
    </row>
    <row r="27" spans="1:9" x14ac:dyDescent="0.45">
      <c r="A27" s="4" t="s">
        <v>143</v>
      </c>
      <c r="B27" s="4" t="s">
        <v>144</v>
      </c>
      <c r="C27" s="4" t="s">
        <v>145</v>
      </c>
      <c r="D27" s="4" t="s">
        <v>146</v>
      </c>
      <c r="F27" s="4"/>
      <c r="G27" s="19"/>
      <c r="H27" s="19"/>
      <c r="I27" s="19"/>
    </row>
    <row r="28" spans="1:9" x14ac:dyDescent="0.45">
      <c r="A28" s="4" t="s">
        <v>130</v>
      </c>
      <c r="B28" s="4" t="s">
        <v>148</v>
      </c>
      <c r="C28" s="4" t="s">
        <v>149</v>
      </c>
      <c r="D28" s="4" t="s">
        <v>150</v>
      </c>
      <c r="F28" s="4"/>
      <c r="G28" s="19"/>
      <c r="H28" s="19"/>
      <c r="I28" s="19"/>
    </row>
    <row r="30" spans="1:9" x14ac:dyDescent="0.45">
      <c r="A30" s="16" t="s">
        <v>182</v>
      </c>
      <c r="B30" s="14" t="s">
        <v>165</v>
      </c>
    </row>
    <row r="31" spans="1:9" x14ac:dyDescent="0.45">
      <c r="A31" s="17" t="s">
        <v>166</v>
      </c>
      <c r="B31" s="17" t="s">
        <v>167</v>
      </c>
      <c r="C31" s="17" t="s">
        <v>168</v>
      </c>
      <c r="D31" s="17" t="s">
        <v>169</v>
      </c>
      <c r="E31" s="17" t="s">
        <v>170</v>
      </c>
      <c r="F31" s="18" t="s">
        <v>171</v>
      </c>
    </row>
    <row r="32" spans="1:9" x14ac:dyDescent="0.45">
      <c r="A32" s="17" t="s">
        <v>172</v>
      </c>
      <c r="B32" s="17">
        <v>15</v>
      </c>
      <c r="C32" s="17">
        <v>11</v>
      </c>
      <c r="D32" s="17">
        <v>12</v>
      </c>
      <c r="E32" s="17">
        <v>56</v>
      </c>
      <c r="F32" s="17"/>
    </row>
    <row r="33" spans="1:6" x14ac:dyDescent="0.45">
      <c r="A33" s="17" t="s">
        <v>173</v>
      </c>
      <c r="B33" s="17">
        <v>14</v>
      </c>
      <c r="C33" s="17">
        <v>8</v>
      </c>
      <c r="D33" s="17">
        <v>16</v>
      </c>
      <c r="E33" s="17">
        <v>50</v>
      </c>
      <c r="F33" s="17"/>
    </row>
    <row r="34" spans="1:6" x14ac:dyDescent="0.45">
      <c r="A34" s="17" t="s">
        <v>174</v>
      </c>
      <c r="B34" s="17">
        <v>9</v>
      </c>
      <c r="C34" s="17">
        <v>10</v>
      </c>
      <c r="D34" s="17">
        <v>19</v>
      </c>
      <c r="E34" s="17">
        <v>37</v>
      </c>
      <c r="F34" s="17"/>
    </row>
    <row r="35" spans="1:6" x14ac:dyDescent="0.45">
      <c r="A35" s="17" t="s">
        <v>175</v>
      </c>
      <c r="B35" s="17">
        <v>22</v>
      </c>
      <c r="C35" s="17">
        <v>13</v>
      </c>
      <c r="D35" s="17">
        <v>3</v>
      </c>
      <c r="E35" s="17">
        <v>79</v>
      </c>
      <c r="F35" s="17"/>
    </row>
    <row r="36" spans="1:6" x14ac:dyDescent="0.45">
      <c r="A36" s="17" t="s">
        <v>176</v>
      </c>
      <c r="B36" s="17">
        <v>16</v>
      </c>
      <c r="C36" s="17">
        <v>7</v>
      </c>
      <c r="D36" s="17">
        <v>15</v>
      </c>
      <c r="E36" s="17">
        <v>55</v>
      </c>
      <c r="F36" s="17"/>
    </row>
    <row r="37" spans="1:6" x14ac:dyDescent="0.45">
      <c r="A37" s="17" t="s">
        <v>177</v>
      </c>
      <c r="B37" s="17">
        <v>12</v>
      </c>
      <c r="C37" s="17">
        <v>12</v>
      </c>
      <c r="D37" s="17">
        <v>14</v>
      </c>
      <c r="E37" s="17">
        <v>48</v>
      </c>
      <c r="F37" s="17"/>
    </row>
    <row r="38" spans="1:6" x14ac:dyDescent="0.45">
      <c r="A38" s="17" t="s">
        <v>178</v>
      </c>
      <c r="B38" s="17">
        <v>16</v>
      </c>
      <c r="C38" s="17">
        <v>8</v>
      </c>
      <c r="D38" s="17">
        <v>14</v>
      </c>
      <c r="E38" s="17">
        <v>56</v>
      </c>
      <c r="F38" s="17"/>
    </row>
    <row r="39" spans="1:6" x14ac:dyDescent="0.45">
      <c r="A39" s="17" t="s">
        <v>179</v>
      </c>
      <c r="B39" s="17">
        <v>22</v>
      </c>
      <c r="C39" s="17">
        <v>10</v>
      </c>
      <c r="D39" s="17">
        <v>6</v>
      </c>
      <c r="E39" s="17">
        <v>76</v>
      </c>
      <c r="F39" s="17"/>
    </row>
    <row r="40" spans="1:6" x14ac:dyDescent="0.45">
      <c r="A40" s="17" t="s">
        <v>180</v>
      </c>
      <c r="B40" s="17">
        <v>13</v>
      </c>
      <c r="C40" s="17">
        <v>16</v>
      </c>
      <c r="D40" s="17">
        <v>9</v>
      </c>
      <c r="E40" s="17">
        <v>55</v>
      </c>
      <c r="F40" s="17"/>
    </row>
  </sheetData>
  <mergeCells count="2">
    <mergeCell ref="F11:G11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94A9B-8130-4CEA-9F85-22CDCF94B3BD}">
  <dimension ref="A1:G15"/>
  <sheetViews>
    <sheetView workbookViewId="0">
      <selection sqref="A1:G1"/>
    </sheetView>
  </sheetViews>
  <sheetFormatPr defaultRowHeight="17" x14ac:dyDescent="0.45"/>
  <cols>
    <col min="5" max="5" width="11.08203125" bestFit="1" customWidth="1"/>
    <col min="6" max="7" width="11" bestFit="1" customWidth="1"/>
  </cols>
  <sheetData>
    <row r="1" spans="1:7" ht="21" x14ac:dyDescent="0.45">
      <c r="A1" s="22" t="s">
        <v>53</v>
      </c>
      <c r="B1" s="22"/>
      <c r="C1" s="22"/>
      <c r="D1" s="22"/>
      <c r="E1" s="22"/>
      <c r="F1" s="22"/>
      <c r="G1" s="22"/>
    </row>
    <row r="3" spans="1:7" x14ac:dyDescent="0.45">
      <c r="A3" s="4" t="s">
        <v>54</v>
      </c>
      <c r="B3" s="4" t="s">
        <v>55</v>
      </c>
      <c r="C3" s="4" t="s">
        <v>56</v>
      </c>
      <c r="D3" s="4" t="s">
        <v>57</v>
      </c>
      <c r="E3" s="4" t="s">
        <v>58</v>
      </c>
      <c r="F3" s="4" t="s">
        <v>59</v>
      </c>
      <c r="G3" s="4" t="s">
        <v>60</v>
      </c>
    </row>
    <row r="4" spans="1:7" x14ac:dyDescent="0.45">
      <c r="A4" s="4" t="s">
        <v>61</v>
      </c>
      <c r="B4" s="4" t="s">
        <v>62</v>
      </c>
      <c r="C4" s="4">
        <v>168</v>
      </c>
      <c r="D4" s="4">
        <v>52</v>
      </c>
      <c r="E4" s="4" t="s">
        <v>63</v>
      </c>
      <c r="F4" s="4">
        <v>119</v>
      </c>
      <c r="G4" s="4">
        <v>78</v>
      </c>
    </row>
    <row r="5" spans="1:7" x14ac:dyDescent="0.45">
      <c r="A5" s="4" t="s">
        <v>64</v>
      </c>
      <c r="B5" s="4" t="s">
        <v>65</v>
      </c>
      <c r="C5" s="4">
        <v>173</v>
      </c>
      <c r="D5" s="4">
        <v>72</v>
      </c>
      <c r="E5" s="4" t="s">
        <v>66</v>
      </c>
      <c r="F5" s="4">
        <v>120</v>
      </c>
      <c r="G5" s="4">
        <v>77</v>
      </c>
    </row>
    <row r="6" spans="1:7" x14ac:dyDescent="0.45">
      <c r="A6" s="4" t="s">
        <v>67</v>
      </c>
      <c r="B6" s="4" t="s">
        <v>68</v>
      </c>
      <c r="C6" s="4">
        <v>183</v>
      </c>
      <c r="D6" s="4">
        <v>70</v>
      </c>
      <c r="E6" s="4" t="s">
        <v>69</v>
      </c>
      <c r="F6" s="4">
        <v>123</v>
      </c>
      <c r="G6" s="4">
        <v>82</v>
      </c>
    </row>
    <row r="7" spans="1:7" x14ac:dyDescent="0.45">
      <c r="A7" s="4" t="s">
        <v>70</v>
      </c>
      <c r="B7" s="4" t="s">
        <v>68</v>
      </c>
      <c r="C7" s="4">
        <v>181</v>
      </c>
      <c r="D7" s="4">
        <v>96</v>
      </c>
      <c r="E7" s="4" t="s">
        <v>71</v>
      </c>
      <c r="F7" s="4">
        <v>142</v>
      </c>
      <c r="G7" s="4">
        <v>97</v>
      </c>
    </row>
    <row r="8" spans="1:7" x14ac:dyDescent="0.45">
      <c r="A8" s="4" t="s">
        <v>72</v>
      </c>
      <c r="B8" s="4" t="s">
        <v>62</v>
      </c>
      <c r="C8" s="4">
        <v>161</v>
      </c>
      <c r="D8" s="4">
        <v>54</v>
      </c>
      <c r="E8" s="4" t="s">
        <v>73</v>
      </c>
      <c r="F8" s="4">
        <v>112</v>
      </c>
      <c r="G8" s="4">
        <v>71</v>
      </c>
    </row>
    <row r="9" spans="1:7" x14ac:dyDescent="0.45">
      <c r="A9" s="4" t="s">
        <v>74</v>
      </c>
      <c r="B9" s="4" t="s">
        <v>62</v>
      </c>
      <c r="C9" s="4">
        <v>163</v>
      </c>
      <c r="D9" s="4">
        <v>46</v>
      </c>
      <c r="E9" s="4" t="s">
        <v>75</v>
      </c>
      <c r="F9" s="4">
        <v>117</v>
      </c>
      <c r="G9" s="4">
        <v>69</v>
      </c>
    </row>
    <row r="10" spans="1:7" x14ac:dyDescent="0.45">
      <c r="A10" s="4" t="s">
        <v>76</v>
      </c>
      <c r="B10" s="4" t="s">
        <v>65</v>
      </c>
      <c r="C10" s="4">
        <v>168</v>
      </c>
      <c r="D10" s="4">
        <v>72</v>
      </c>
      <c r="E10" s="4" t="s">
        <v>69</v>
      </c>
      <c r="F10" s="4">
        <v>126</v>
      </c>
      <c r="G10" s="4">
        <v>83</v>
      </c>
    </row>
    <row r="11" spans="1:7" x14ac:dyDescent="0.45">
      <c r="A11" s="4" t="s">
        <v>77</v>
      </c>
      <c r="B11" s="4" t="s">
        <v>65</v>
      </c>
      <c r="C11" s="4">
        <v>160</v>
      </c>
      <c r="D11" s="4">
        <v>56</v>
      </c>
      <c r="E11" s="4" t="s">
        <v>78</v>
      </c>
      <c r="F11" s="4">
        <v>121</v>
      </c>
      <c r="G11" s="4">
        <v>76</v>
      </c>
    </row>
    <row r="12" spans="1:7" x14ac:dyDescent="0.45">
      <c r="A12" s="4" t="s">
        <v>79</v>
      </c>
      <c r="B12" s="4" t="s">
        <v>68</v>
      </c>
      <c r="C12" s="4">
        <v>173</v>
      </c>
      <c r="D12" s="4">
        <v>71</v>
      </c>
      <c r="E12" s="4" t="s">
        <v>80</v>
      </c>
      <c r="F12" s="4">
        <v>124</v>
      </c>
      <c r="G12" s="4">
        <v>82</v>
      </c>
    </row>
    <row r="13" spans="1:7" x14ac:dyDescent="0.45">
      <c r="A13" s="4" t="s">
        <v>81</v>
      </c>
      <c r="B13" s="4" t="s">
        <v>62</v>
      </c>
      <c r="C13" s="4">
        <v>177</v>
      </c>
      <c r="D13" s="4">
        <v>70</v>
      </c>
      <c r="E13" s="4" t="s">
        <v>63</v>
      </c>
      <c r="F13" s="4">
        <v>120</v>
      </c>
      <c r="G13" s="4">
        <v>80</v>
      </c>
    </row>
    <row r="14" spans="1:7" x14ac:dyDescent="0.45">
      <c r="A14" s="4" t="s">
        <v>82</v>
      </c>
      <c r="B14" s="4" t="s">
        <v>65</v>
      </c>
      <c r="C14" s="4">
        <v>157</v>
      </c>
      <c r="D14" s="4">
        <v>55</v>
      </c>
      <c r="E14" s="4" t="s">
        <v>83</v>
      </c>
      <c r="F14" s="4">
        <v>118</v>
      </c>
      <c r="G14" s="4">
        <v>77</v>
      </c>
    </row>
    <row r="15" spans="1:7" x14ac:dyDescent="0.45">
      <c r="A15" s="4" t="s">
        <v>84</v>
      </c>
      <c r="B15" s="4" t="s">
        <v>68</v>
      </c>
      <c r="C15" s="4">
        <v>179</v>
      </c>
      <c r="D15" s="4">
        <v>69</v>
      </c>
      <c r="E15" s="4" t="s">
        <v>85</v>
      </c>
      <c r="F15" s="4">
        <v>124</v>
      </c>
      <c r="G15" s="4">
        <v>81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40D82-1DA6-4407-81E0-0ABFCA706605}">
  <dimension ref="A1:I12"/>
  <sheetViews>
    <sheetView workbookViewId="0"/>
  </sheetViews>
  <sheetFormatPr defaultRowHeight="17" x14ac:dyDescent="0.45"/>
  <cols>
    <col min="1" max="1" width="10.4140625" bestFit="1" customWidth="1"/>
  </cols>
  <sheetData>
    <row r="1" spans="1:9" x14ac:dyDescent="0.45">
      <c r="A1" s="14" t="s">
        <v>188</v>
      </c>
      <c r="F1" s="14" t="s">
        <v>189</v>
      </c>
    </row>
    <row r="2" spans="1:9" x14ac:dyDescent="0.45">
      <c r="A2" s="21" t="s">
        <v>88</v>
      </c>
      <c r="B2" s="21" t="s">
        <v>190</v>
      </c>
      <c r="C2" s="21" t="s">
        <v>191</v>
      </c>
      <c r="D2" s="21" t="s">
        <v>192</v>
      </c>
      <c r="F2" s="21" t="s">
        <v>88</v>
      </c>
      <c r="G2" s="21" t="s">
        <v>190</v>
      </c>
      <c r="H2" s="21" t="s">
        <v>191</v>
      </c>
      <c r="I2" s="21" t="s">
        <v>192</v>
      </c>
    </row>
    <row r="3" spans="1:9" x14ac:dyDescent="0.45">
      <c r="A3" s="21" t="s">
        <v>193</v>
      </c>
      <c r="B3" s="21">
        <v>28</v>
      </c>
      <c r="C3" s="21">
        <v>19</v>
      </c>
      <c r="D3" s="21">
        <v>25</v>
      </c>
      <c r="F3" s="21" t="s">
        <v>194</v>
      </c>
      <c r="G3" s="21">
        <v>19</v>
      </c>
      <c r="H3" s="21">
        <v>24</v>
      </c>
      <c r="I3" s="21">
        <v>19</v>
      </c>
    </row>
    <row r="4" spans="1:9" x14ac:dyDescent="0.45">
      <c r="A4" s="21" t="s">
        <v>195</v>
      </c>
      <c r="B4" s="21">
        <v>19</v>
      </c>
      <c r="C4" s="21">
        <v>21</v>
      </c>
      <c r="D4" s="21">
        <v>23</v>
      </c>
      <c r="F4" s="21" t="s">
        <v>196</v>
      </c>
      <c r="G4" s="21">
        <v>15</v>
      </c>
      <c r="H4" s="21">
        <v>20</v>
      </c>
      <c r="I4" s="21">
        <v>22</v>
      </c>
    </row>
    <row r="5" spans="1:9" x14ac:dyDescent="0.45">
      <c r="A5" s="21" t="s">
        <v>197</v>
      </c>
      <c r="B5" s="21">
        <v>22</v>
      </c>
      <c r="C5" s="21">
        <v>25</v>
      </c>
      <c r="D5" s="21">
        <v>29</v>
      </c>
      <c r="F5" s="21" t="s">
        <v>198</v>
      </c>
      <c r="G5" s="21">
        <v>21</v>
      </c>
      <c r="H5" s="21">
        <v>18</v>
      </c>
      <c r="I5" s="21">
        <v>24</v>
      </c>
    </row>
    <row r="6" spans="1:9" x14ac:dyDescent="0.45">
      <c r="A6" s="21" t="s">
        <v>199</v>
      </c>
      <c r="B6" s="21">
        <v>31</v>
      </c>
      <c r="C6" s="21">
        <v>23</v>
      </c>
      <c r="D6" s="21">
        <v>30</v>
      </c>
      <c r="F6" s="21" t="s">
        <v>200</v>
      </c>
      <c r="G6" s="21">
        <v>20</v>
      </c>
      <c r="H6" s="21">
        <v>21</v>
      </c>
      <c r="I6" s="21">
        <v>17</v>
      </c>
    </row>
    <row r="7" spans="1:9" x14ac:dyDescent="0.45">
      <c r="A7" s="21" t="s">
        <v>201</v>
      </c>
      <c r="B7" s="21">
        <v>25</v>
      </c>
      <c r="C7" s="21">
        <v>17</v>
      </c>
      <c r="D7" s="21">
        <v>22</v>
      </c>
      <c r="F7" s="21" t="s">
        <v>202</v>
      </c>
      <c r="G7" s="21">
        <v>17</v>
      </c>
      <c r="H7" s="21">
        <v>16</v>
      </c>
      <c r="I7" s="21">
        <v>20</v>
      </c>
    </row>
    <row r="9" spans="1:9" x14ac:dyDescent="0.45">
      <c r="A9" s="14" t="s">
        <v>203</v>
      </c>
    </row>
    <row r="10" spans="1:9" x14ac:dyDescent="0.45">
      <c r="A10" s="21" t="s">
        <v>88</v>
      </c>
      <c r="B10" s="21" t="s">
        <v>190</v>
      </c>
      <c r="C10" s="21" t="s">
        <v>191</v>
      </c>
      <c r="D10" s="21" t="s">
        <v>192</v>
      </c>
    </row>
    <row r="11" spans="1:9" x14ac:dyDescent="0.45">
      <c r="A11" s="21"/>
      <c r="B11" s="21"/>
      <c r="C11" s="21"/>
      <c r="D11" s="21"/>
    </row>
    <row r="12" spans="1:9" x14ac:dyDescent="0.45">
      <c r="A12" s="21"/>
      <c r="B12" s="21"/>
      <c r="C12" s="21"/>
      <c r="D12" s="2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22" t="s">
        <v>96</v>
      </c>
      <c r="B1" s="22"/>
      <c r="C1" s="22"/>
      <c r="D1" s="22"/>
      <c r="E1" s="22"/>
      <c r="F1" s="22"/>
    </row>
    <row r="2" spans="1:6" ht="17" customHeight="1" x14ac:dyDescent="0.45">
      <c r="A2" s="10"/>
      <c r="B2" s="10"/>
      <c r="C2" s="10"/>
      <c r="D2" s="10"/>
      <c r="E2" s="10"/>
    </row>
    <row r="3" spans="1:6" x14ac:dyDescent="0.45">
      <c r="A3" s="12" t="s">
        <v>97</v>
      </c>
      <c r="B3" s="12" t="s">
        <v>98</v>
      </c>
      <c r="C3" s="12" t="s">
        <v>185</v>
      </c>
      <c r="D3" s="12" t="s">
        <v>186</v>
      </c>
      <c r="E3" s="12" t="s">
        <v>187</v>
      </c>
      <c r="F3" s="12" t="s">
        <v>92</v>
      </c>
    </row>
    <row r="4" spans="1:6" x14ac:dyDescent="0.45">
      <c r="A4" s="4" t="s">
        <v>99</v>
      </c>
      <c r="B4" s="11">
        <v>2356</v>
      </c>
      <c r="C4" s="11">
        <v>2423</v>
      </c>
      <c r="D4" s="11">
        <v>2150</v>
      </c>
      <c r="E4" s="11">
        <v>2478</v>
      </c>
      <c r="F4" s="11"/>
    </row>
    <row r="5" spans="1:6" x14ac:dyDescent="0.45">
      <c r="A5" s="4" t="s">
        <v>100</v>
      </c>
      <c r="B5" s="11">
        <v>308</v>
      </c>
      <c r="C5" s="11">
        <v>456</v>
      </c>
      <c r="D5" s="11">
        <v>300</v>
      </c>
      <c r="E5" s="11">
        <v>356</v>
      </c>
      <c r="F5" s="11"/>
    </row>
    <row r="6" spans="1:6" x14ac:dyDescent="0.45">
      <c r="A6" s="4" t="s">
        <v>101</v>
      </c>
      <c r="B6" s="11">
        <v>2205</v>
      </c>
      <c r="C6" s="11">
        <v>2539</v>
      </c>
      <c r="D6" s="11">
        <v>2463</v>
      </c>
      <c r="E6" s="11">
        <v>2872</v>
      </c>
      <c r="F6" s="11"/>
    </row>
    <row r="7" spans="1:6" x14ac:dyDescent="0.45">
      <c r="A7" s="4" t="s">
        <v>102</v>
      </c>
      <c r="B7" s="11">
        <v>462</v>
      </c>
      <c r="C7" s="11">
        <v>438</v>
      </c>
      <c r="D7" s="11">
        <v>305</v>
      </c>
      <c r="E7" s="11">
        <v>328</v>
      </c>
      <c r="F7" s="11"/>
    </row>
    <row r="8" spans="1:6" x14ac:dyDescent="0.45">
      <c r="A8" s="4" t="s">
        <v>103</v>
      </c>
      <c r="B8" s="11">
        <v>39</v>
      </c>
      <c r="C8" s="11">
        <v>40</v>
      </c>
      <c r="D8" s="11">
        <v>41</v>
      </c>
      <c r="E8" s="11">
        <v>73</v>
      </c>
      <c r="F8" s="11"/>
    </row>
    <row r="9" spans="1:6" x14ac:dyDescent="0.45">
      <c r="A9" s="4" t="s">
        <v>104</v>
      </c>
      <c r="B9" s="11">
        <v>195</v>
      </c>
      <c r="C9" s="11">
        <v>246</v>
      </c>
      <c r="D9" s="11">
        <v>207</v>
      </c>
      <c r="E9" s="11">
        <v>295</v>
      </c>
      <c r="F9" s="1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00129-4ACA-435C-8A1C-5EB266B9B19A}">
  <dimension ref="A1:E9"/>
  <sheetViews>
    <sheetView workbookViewId="0">
      <selection sqref="A1:E1"/>
    </sheetView>
  </sheetViews>
  <sheetFormatPr defaultRowHeight="17" x14ac:dyDescent="0.45"/>
  <cols>
    <col min="3" max="3" width="10.4140625" bestFit="1" customWidth="1"/>
  </cols>
  <sheetData>
    <row r="1" spans="1:5" ht="21" x14ac:dyDescent="0.45">
      <c r="A1" s="22" t="s">
        <v>86</v>
      </c>
      <c r="B1" s="22"/>
      <c r="C1" s="22"/>
      <c r="D1" s="22"/>
      <c r="E1" s="22"/>
    </row>
    <row r="2" spans="1:5" x14ac:dyDescent="0.45">
      <c r="E2" s="8" t="s">
        <v>87</v>
      </c>
    </row>
    <row r="3" spans="1:5" x14ac:dyDescent="0.45">
      <c r="A3" s="4" t="s">
        <v>88</v>
      </c>
      <c r="B3" s="4" t="s">
        <v>89</v>
      </c>
      <c r="C3" s="4" t="s">
        <v>90</v>
      </c>
      <c r="D3" s="4" t="s">
        <v>91</v>
      </c>
      <c r="E3" s="4" t="s">
        <v>92</v>
      </c>
    </row>
    <row r="4" spans="1:5" x14ac:dyDescent="0.45">
      <c r="A4" s="4" t="s">
        <v>13</v>
      </c>
      <c r="B4" s="9">
        <v>565</v>
      </c>
      <c r="C4" s="9">
        <v>469</v>
      </c>
      <c r="D4" s="9">
        <v>525</v>
      </c>
      <c r="E4" s="9">
        <f>SUM(B4:D4)</f>
        <v>1559</v>
      </c>
    </row>
    <row r="5" spans="1:5" x14ac:dyDescent="0.45">
      <c r="A5" s="4" t="s">
        <v>21</v>
      </c>
      <c r="B5" s="9">
        <v>426</v>
      </c>
      <c r="C5" s="9">
        <v>354</v>
      </c>
      <c r="D5" s="9">
        <v>396</v>
      </c>
      <c r="E5" s="9">
        <f t="shared" ref="E5:E9" si="0">SUM(B5:D5)</f>
        <v>1176</v>
      </c>
    </row>
    <row r="6" spans="1:5" x14ac:dyDescent="0.45">
      <c r="A6" s="4" t="s">
        <v>93</v>
      </c>
      <c r="B6" s="9">
        <v>513</v>
      </c>
      <c r="C6" s="9">
        <v>426</v>
      </c>
      <c r="D6" s="9">
        <v>477</v>
      </c>
      <c r="E6" s="9">
        <f t="shared" si="0"/>
        <v>1416</v>
      </c>
    </row>
    <row r="7" spans="1:5" x14ac:dyDescent="0.45">
      <c r="A7" s="4" t="s">
        <v>94</v>
      </c>
      <c r="B7" s="9">
        <v>388</v>
      </c>
      <c r="C7" s="9">
        <v>322</v>
      </c>
      <c r="D7" s="9">
        <v>361</v>
      </c>
      <c r="E7" s="9">
        <f t="shared" si="0"/>
        <v>1071</v>
      </c>
    </row>
    <row r="8" spans="1:5" x14ac:dyDescent="0.45">
      <c r="A8" s="4" t="s">
        <v>95</v>
      </c>
      <c r="B8" s="9">
        <v>684</v>
      </c>
      <c r="C8" s="9">
        <v>568</v>
      </c>
      <c r="D8" s="9">
        <v>636</v>
      </c>
      <c r="E8" s="9">
        <f t="shared" si="0"/>
        <v>1888</v>
      </c>
    </row>
    <row r="9" spans="1:5" x14ac:dyDescent="0.45">
      <c r="A9" s="4" t="s">
        <v>10</v>
      </c>
      <c r="B9" s="9">
        <v>593</v>
      </c>
      <c r="C9" s="9">
        <v>492</v>
      </c>
      <c r="D9" s="9">
        <v>551</v>
      </c>
      <c r="E9" s="9">
        <f t="shared" si="0"/>
        <v>1636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2026-05-20T06:20:54Z</dcterms:modified>
</cp:coreProperties>
</file>