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3\"/>
    </mc:Choice>
  </mc:AlternateContent>
  <xr:revisionPtr revIDLastSave="0" documentId="13_ncr:1_{BF33BC51-3A09-4BEA-B6F0-C4786A0E4572}" xr6:coauthVersionLast="47" xr6:coauthVersionMax="47" xr10:uidLastSave="{00000000-0000-0000-0000-000000000000}"/>
  <bookViews>
    <workbookView xWindow="750" yWindow="1620" windowWidth="21600" windowHeight="13200" firstSheet="1" activeTab="7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4" r:id="rId4"/>
    <sheet name="분석작업-1" sheetId="11" r:id="rId5"/>
    <sheet name="분석작업-2" sheetId="14" r:id="rId6"/>
    <sheet name="매크로작업" sheetId="8" r:id="rId7"/>
    <sheet name="차트작업" sheetId="13" r:id="rId8"/>
  </sheets>
  <definedNames>
    <definedName name="_xlnm._FilterDatabase" localSheetId="2" hidden="1">'기본작업-3'!$A$3:$F$16</definedName>
    <definedName name="_xlnm.Criteria" localSheetId="2">'기본작업-3'!$A$19:$B$21</definedName>
    <definedName name="_xlnm.Extract" localSheetId="2">'기본작업-3'!$A$24:$C$24</definedName>
    <definedName name="이사비용">'기본작업-2'!$G$4:$G$13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4" i="8"/>
  <c r="G20" i="11"/>
  <c r="G14" i="11"/>
  <c r="G8" i="11"/>
  <c r="G22" i="11" s="1"/>
  <c r="F21" i="11"/>
  <c r="F15" i="11"/>
  <c r="F9" i="11"/>
  <c r="I24" i="4"/>
  <c r="F33" i="4"/>
  <c r="F34" i="4"/>
  <c r="F35" i="4"/>
  <c r="F36" i="4"/>
  <c r="F37" i="4"/>
  <c r="F38" i="4"/>
  <c r="F39" i="4"/>
  <c r="F40" i="4"/>
  <c r="F32" i="4"/>
  <c r="D16" i="4"/>
  <c r="D17" i="4"/>
  <c r="D18" i="4"/>
  <c r="D19" i="4"/>
  <c r="D20" i="4"/>
  <c r="D21" i="4"/>
  <c r="D22" i="4"/>
  <c r="D23" i="4"/>
  <c r="D24" i="4"/>
  <c r="D15" i="4"/>
  <c r="H11" i="4"/>
  <c r="D4" i="4"/>
  <c r="D5" i="4"/>
  <c r="D6" i="4"/>
  <c r="D7" i="4"/>
  <c r="D8" i="4"/>
  <c r="D9" i="4"/>
  <c r="D10" i="4"/>
  <c r="D11" i="4"/>
  <c r="D3" i="4"/>
  <c r="E9" i="13"/>
  <c r="E8" i="13"/>
  <c r="E7" i="13"/>
  <c r="E6" i="13"/>
  <c r="E5" i="13"/>
  <c r="E4" i="13"/>
  <c r="F23" i="11" l="1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<sst xmlns="http://schemas.openxmlformats.org/spreadsheetml/2006/main" count="323" uniqueCount="231">
  <si>
    <t>E-BOOK 판매 현황</t>
    <phoneticPr fontId="1" type="noConversion"/>
  </si>
  <si>
    <t>상공이사센터 계약 현황</t>
    <phoneticPr fontId="1" type="noConversion"/>
  </si>
  <si>
    <t>계약자</t>
    <phoneticPr fontId="1" type="noConversion"/>
  </si>
  <si>
    <t>이사일자</t>
    <phoneticPr fontId="1" type="noConversion"/>
  </si>
  <si>
    <t>지역</t>
    <phoneticPr fontId="1" type="noConversion"/>
  </si>
  <si>
    <t>종류</t>
    <phoneticPr fontId="1" type="noConversion"/>
  </si>
  <si>
    <t>작업인원</t>
    <phoneticPr fontId="1" type="noConversion"/>
  </si>
  <si>
    <t>이사비용</t>
    <phoneticPr fontId="1" type="noConversion"/>
  </si>
  <si>
    <t>장혜선</t>
  </si>
  <si>
    <t>서초</t>
    <phoneticPr fontId="1" type="noConversion"/>
  </si>
  <si>
    <t>가정</t>
    <phoneticPr fontId="1" type="noConversion"/>
  </si>
  <si>
    <t>우은하</t>
  </si>
  <si>
    <t>마포</t>
    <phoneticPr fontId="1" type="noConversion"/>
  </si>
  <si>
    <t>원룸</t>
    <phoneticPr fontId="1" type="noConversion"/>
  </si>
  <si>
    <t>한슬기</t>
    <phoneticPr fontId="1" type="noConversion"/>
  </si>
  <si>
    <t>용산</t>
    <phoneticPr fontId="1" type="noConversion"/>
  </si>
  <si>
    <t>이용규</t>
    <phoneticPr fontId="1" type="noConversion"/>
  </si>
  <si>
    <t>관악</t>
    <phoneticPr fontId="1" type="noConversion"/>
  </si>
  <si>
    <t>회사</t>
    <phoneticPr fontId="1" type="noConversion"/>
  </si>
  <si>
    <t>곽지운</t>
  </si>
  <si>
    <t>강서</t>
    <phoneticPr fontId="1" type="noConversion"/>
  </si>
  <si>
    <t>황성훈</t>
    <phoneticPr fontId="1" type="noConversion"/>
  </si>
  <si>
    <t>송파</t>
    <phoneticPr fontId="1" type="noConversion"/>
  </si>
  <si>
    <t>서유환</t>
  </si>
  <si>
    <t>도봉</t>
    <phoneticPr fontId="1" type="noConversion"/>
  </si>
  <si>
    <t>고인숙</t>
    <phoneticPr fontId="1" type="noConversion"/>
  </si>
  <si>
    <t>은평</t>
    <phoneticPr fontId="1" type="noConversion"/>
  </si>
  <si>
    <t>조광희</t>
    <phoneticPr fontId="1" type="noConversion"/>
  </si>
  <si>
    <t>종로</t>
    <phoneticPr fontId="1" type="noConversion"/>
  </si>
  <si>
    <t>김영택</t>
    <phoneticPr fontId="1" type="noConversion"/>
  </si>
  <si>
    <t>금천</t>
    <phoneticPr fontId="1" type="noConversion"/>
  </si>
  <si>
    <t>상공상사 제품 거래 현황</t>
    <phoneticPr fontId="1" type="noConversion"/>
  </si>
  <si>
    <t>거래일자</t>
    <phoneticPr fontId="1" type="noConversion"/>
  </si>
  <si>
    <t>거래처명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</si>
  <si>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</si>
  <si>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</si>
  <si>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</si>
  <si>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총액</t>
    <phoneticPr fontId="1" type="noConversion"/>
  </si>
  <si>
    <t>대청유통</t>
    <phoneticPr fontId="1" type="noConversion"/>
  </si>
  <si>
    <t>D3-47-4822</t>
    <phoneticPr fontId="1" type="noConversion"/>
  </si>
  <si>
    <t>유일실업</t>
    <phoneticPr fontId="1" type="noConversion"/>
  </si>
  <si>
    <t>G9-80-3911</t>
    <phoneticPr fontId="1" type="noConversion"/>
  </si>
  <si>
    <t>유진상사</t>
    <phoneticPr fontId="1" type="noConversion"/>
  </si>
  <si>
    <t>N1-58-5463</t>
    <phoneticPr fontId="1" type="noConversion"/>
  </si>
  <si>
    <t>휴먼상사</t>
    <phoneticPr fontId="1" type="noConversion"/>
  </si>
  <si>
    <t>T3-12-1857</t>
    <phoneticPr fontId="1" type="noConversion"/>
  </si>
  <si>
    <t>대림유통</t>
    <phoneticPr fontId="1" type="noConversion"/>
  </si>
  <si>
    <t>E6-33-9004</t>
    <phoneticPr fontId="1" type="noConversion"/>
  </si>
  <si>
    <t>한성물산</t>
    <phoneticPr fontId="1" type="noConversion"/>
  </si>
  <si>
    <t>S5-03-3446</t>
    <phoneticPr fontId="1" type="noConversion"/>
  </si>
  <si>
    <t>원영무역</t>
    <phoneticPr fontId="1" type="noConversion"/>
  </si>
  <si>
    <t>H6-76-0281</t>
    <phoneticPr fontId="1" type="noConversion"/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</si>
  <si>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</si>
  <si>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</si>
  <si>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</si>
  <si>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</si>
  <si>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</si>
  <si>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</si>
  <si>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</si>
  <si>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</si>
  <si>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</si>
  <si>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</si>
  <si>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</si>
  <si>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</si>
  <si>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</si>
  <si>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</si>
  <si>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</si>
  <si>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</si>
  <si>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</si>
  <si>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</si>
  <si>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</si>
  <si>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</si>
  <si>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</si>
  <si>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</si>
  <si>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</si>
  <si>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</si>
  <si>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</si>
  <si>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</si>
  <si>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</si>
  <si>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</si>
  <si>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</si>
  <si>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</si>
  <si>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</si>
  <si>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</si>
  <si>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</si>
  <si>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지점별 경비사용내역</t>
    <phoneticPr fontId="1" type="noConversion"/>
  </si>
  <si>
    <t>(단위 : 만원)</t>
    <phoneticPr fontId="1" type="noConversion"/>
  </si>
  <si>
    <t>지점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</si>
  <si>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</si>
  <si>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</si>
  <si>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</si>
  <si>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</si>
  <si>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</si>
  <si>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</si>
  <si>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</si>
  <si>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위해 신고 접수 현황</t>
    <phoneticPr fontId="1" type="noConversion"/>
  </si>
  <si>
    <t>분류</t>
    <phoneticPr fontId="1" type="noConversion"/>
  </si>
  <si>
    <t>2022년</t>
    <phoneticPr fontId="1" type="noConversion"/>
  </si>
  <si>
    <t>가공식품</t>
    <phoneticPr fontId="1" type="noConversion"/>
  </si>
  <si>
    <t>생활용품</t>
    <phoneticPr fontId="1" type="noConversion"/>
  </si>
  <si>
    <t>가전제품</t>
    <phoneticPr fontId="1" type="noConversion"/>
  </si>
  <si>
    <t>주방기기</t>
    <phoneticPr fontId="1" type="noConversion"/>
  </si>
  <si>
    <t>애완용품</t>
    <phoneticPr fontId="1" type="noConversion"/>
  </si>
  <si>
    <t>기타</t>
    <phoneticPr fontId="1" type="noConversion"/>
  </si>
  <si>
    <t>고객 관리 현황</t>
  </si>
  <si>
    <t>고객명</t>
  </si>
  <si>
    <t>성별</t>
  </si>
  <si>
    <t>총구입금액</t>
  </si>
  <si>
    <t>등급</t>
  </si>
  <si>
    <t>오종환</t>
  </si>
  <si>
    <t>남</t>
  </si>
  <si>
    <t>전선길</t>
  </si>
  <si>
    <t>신채아</t>
  </si>
  <si>
    <t>여</t>
  </si>
  <si>
    <t>한재훈</t>
  </si>
  <si>
    <t>최인영</t>
  </si>
  <si>
    <t>허이한</t>
  </si>
  <si>
    <t>유지선</t>
  </si>
  <si>
    <t>권민한</t>
  </si>
  <si>
    <t>문수빈</t>
  </si>
  <si>
    <t>[표1]</t>
    <phoneticPr fontId="1" type="noConversion"/>
  </si>
  <si>
    <t>컴활2급 시험 결과</t>
  </si>
  <si>
    <t>수험번호</t>
  </si>
  <si>
    <t>컴퓨터일반</t>
  </si>
  <si>
    <t>엑셀</t>
  </si>
  <si>
    <t>합격률</t>
  </si>
  <si>
    <t>[표2]</t>
    <phoneticPr fontId="1" type="noConversion"/>
  </si>
  <si>
    <t>회원관리현황</t>
  </si>
  <si>
    <t>회원코드</t>
  </si>
  <si>
    <t>지역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</si>
  <si>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</si>
  <si>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</si>
  <si>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</si>
  <si>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</si>
  <si>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</si>
  <si>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</si>
  <si>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</si>
  <si>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</si>
  <si>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</si>
  <si>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</si>
  <si>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</si>
  <si>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</si>
  <si>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코드</t>
  </si>
  <si>
    <t>S</t>
  </si>
  <si>
    <t>K</t>
  </si>
  <si>
    <t>B</t>
  </si>
  <si>
    <t>5-B-309</t>
  </si>
  <si>
    <t>서울</t>
  </si>
  <si>
    <t>경기</t>
  </si>
  <si>
    <t>부산</t>
  </si>
  <si>
    <t>[표3]</t>
    <phoneticPr fontId="1" type="noConversion"/>
  </si>
  <si>
    <t>일일 매출 현황</t>
    <phoneticPr fontId="1" type="noConversion"/>
  </si>
  <si>
    <t>제품명</t>
    <phoneticPr fontId="1" type="noConversion"/>
  </si>
  <si>
    <t>매출액</t>
    <phoneticPr fontId="1" type="noConversion"/>
  </si>
  <si>
    <t>종이컵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</si>
  <si>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</si>
  <si>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</si>
  <si>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</si>
  <si>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</si>
  <si>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</si>
  <si>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</si>
  <si>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</si>
  <si>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</si>
  <si>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</si>
  <si>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K리그 순위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</si>
  <si>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</si>
  <si>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</si>
  <si>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</si>
  <si>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</si>
  <si>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</si>
  <si>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</si>
  <si>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서울FC</t>
    <phoneticPr fontId="1" type="noConversion"/>
  </si>
  <si>
    <t>강원FC</t>
    <phoneticPr fontId="1" type="noConversion"/>
  </si>
  <si>
    <t>인천FC</t>
    <phoneticPr fontId="1" type="noConversion"/>
  </si>
  <si>
    <t>전북FC</t>
    <phoneticPr fontId="1" type="noConversion"/>
  </si>
  <si>
    <t>상주FC</t>
    <phoneticPr fontId="1" type="noConversion"/>
  </si>
  <si>
    <t>수원FC</t>
    <phoneticPr fontId="1" type="noConversion"/>
  </si>
  <si>
    <t>포항FC</t>
    <phoneticPr fontId="1" type="noConversion"/>
  </si>
  <si>
    <t>울산FC</t>
    <phoneticPr fontId="1" type="noConversion"/>
  </si>
  <si>
    <t>대구FC</t>
    <phoneticPr fontId="1" type="noConversion"/>
  </si>
  <si>
    <t>[표4]</t>
    <phoneticPr fontId="1" type="noConversion"/>
  </si>
  <si>
    <t>[표5]</t>
    <phoneticPr fontId="1" type="noConversion"/>
  </si>
  <si>
    <t>&lt;조건&gt;</t>
    <phoneticPr fontId="1" type="noConversion"/>
  </si>
  <si>
    <t>위생장갑</t>
    <phoneticPr fontId="1" type="noConversion"/>
  </si>
  <si>
    <t>2023년</t>
  </si>
  <si>
    <t>2024년</t>
  </si>
  <si>
    <t>2025년</t>
  </si>
  <si>
    <t>[표1] 백화점별 매장 운영 현황</t>
    <phoneticPr fontId="1" type="noConversion"/>
  </si>
  <si>
    <t>[표2] 마트별 매장 운영 현황</t>
    <phoneticPr fontId="1" type="noConversion"/>
  </si>
  <si>
    <t>패션</t>
    <phoneticPr fontId="1" type="noConversion"/>
  </si>
  <si>
    <t>생활</t>
    <phoneticPr fontId="1" type="noConversion"/>
  </si>
  <si>
    <t>식당</t>
    <phoneticPr fontId="1" type="noConversion"/>
  </si>
  <si>
    <t>우리백화점</t>
    <phoneticPr fontId="1" type="noConversion"/>
  </si>
  <si>
    <t>명성마트</t>
    <phoneticPr fontId="1" type="noConversion"/>
  </si>
  <si>
    <t>한국백화점</t>
    <phoneticPr fontId="1" type="noConversion"/>
  </si>
  <si>
    <t>유진마트</t>
    <phoneticPr fontId="1" type="noConversion"/>
  </si>
  <si>
    <t>대한백화점</t>
    <phoneticPr fontId="1" type="noConversion"/>
  </si>
  <si>
    <t>성운마트</t>
    <phoneticPr fontId="1" type="noConversion"/>
  </si>
  <si>
    <t>유명백화점</t>
    <phoneticPr fontId="1" type="noConversion"/>
  </si>
  <si>
    <t>대청마트</t>
    <phoneticPr fontId="1" type="noConversion"/>
  </si>
  <si>
    <t>하나백화점</t>
    <phoneticPr fontId="1" type="noConversion"/>
  </si>
  <si>
    <t>무한마트</t>
    <phoneticPr fontId="1" type="noConversion"/>
  </si>
  <si>
    <t>[표3] 지점별 매장 운영 현황</t>
    <phoneticPr fontId="1" type="noConversion"/>
  </si>
  <si>
    <t>선택 영역의 가운데로' 이건 ctrl+1 누르고 맞춤 들어가서 가운데로 하는거임</t>
    <phoneticPr fontId="1" type="noConversion"/>
  </si>
  <si>
    <t>'선택 영역의 가운데로' 이건 ctrl+1 누르고 맞춤 들어가서 가운데로 하는거임</t>
  </si>
  <si>
    <t>物量(ton)</t>
    <phoneticPr fontId="1" type="noConversion"/>
  </si>
  <si>
    <t>한자키 누르기</t>
    <phoneticPr fontId="1" type="noConversion"/>
  </si>
  <si>
    <t>&gt;1200</t>
    <phoneticPr fontId="1" type="noConversion"/>
  </si>
  <si>
    <t>&lt;25000000</t>
    <phoneticPr fontId="1" type="noConversion"/>
  </si>
  <si>
    <t>전체 최대값</t>
  </si>
  <si>
    <t>개발부 최대</t>
  </si>
  <si>
    <t>관리부 최대</t>
  </si>
  <si>
    <t>자재부 최대</t>
  </si>
  <si>
    <t>개발부 최소</t>
  </si>
  <si>
    <t>관리부 최소</t>
  </si>
  <si>
    <t>자재부 최소</t>
  </si>
  <si>
    <t>전체 최소값</t>
  </si>
  <si>
    <t>*백화점</t>
    <phoneticPr fontId="1" type="noConversion"/>
  </si>
  <si>
    <t>*마트</t>
    <phoneticPr fontId="1" type="noConversion"/>
  </si>
  <si>
    <r>
      <t>*</t>
    </r>
    <r>
      <rPr>
        <sz val="11"/>
        <color theme="1"/>
        <rFont val="맑은 고딕"/>
        <family val="2"/>
        <charset val="129"/>
        <scheme val="minor"/>
      </rPr>
      <t xml:space="preserve"> : 글자 수와 관계없이 모든 문자열</t>
    </r>
  </si>
  <si>
    <r>
      <t>?</t>
    </r>
    <r>
      <rPr>
        <sz val="11"/>
        <color theme="1"/>
        <rFont val="맑은 고딕"/>
        <family val="2"/>
        <charset val="129"/>
        <scheme val="minor"/>
      </rPr>
      <t xml:space="preserve"> : 임의의 한 글자</t>
    </r>
  </si>
  <si>
    <r>
      <t xml:space="preserve">회색 막대 하나를 클릭해서 </t>
    </r>
    <r>
      <rPr>
        <b/>
        <sz val="11"/>
        <color theme="1"/>
        <rFont val="맑은 고딕"/>
        <family val="3"/>
        <charset val="129"/>
        <scheme val="minor"/>
      </rPr>
      <t>회색 계열 전체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</si>
  <si>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마우스 오른쪽 → </t>
    </r>
    <r>
      <rPr>
        <b/>
        <sz val="11"/>
        <color theme="1"/>
        <rFont val="맑은 고딕"/>
        <family val="3"/>
        <charset val="129"/>
        <scheme val="minor"/>
      </rPr>
      <t>데이터 계열 서식</t>
    </r>
  </si>
  <si>
    <r>
      <t xml:space="preserve">오른쪽 패널의 </t>
    </r>
    <r>
      <rPr>
        <b/>
        <sz val="11"/>
        <color theme="1"/>
        <rFont val="맑은 고딕"/>
        <family val="3"/>
        <charset val="129"/>
        <scheme val="minor"/>
      </rPr>
      <t>계열 옵션 → 열 모양</t>
    </r>
  </si>
  <si>
    <r>
      <t>원통형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</si>
  <si>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범례 클릭</t>
  </si>
  <si>
    <r>
      <t xml:space="preserve">마우스 오른쪽 클릭 → </t>
    </r>
    <r>
      <rPr>
        <b/>
        <sz val="11"/>
        <color theme="1"/>
        <rFont val="맑은 고딕"/>
        <family val="3"/>
        <charset val="129"/>
        <scheme val="minor"/>
      </rPr>
      <t>범례 서식</t>
    </r>
  </si>
  <si>
    <r>
      <t xml:space="preserve">또는 상단 </t>
    </r>
    <r>
      <rPr>
        <b/>
        <sz val="11"/>
        <color theme="1"/>
        <rFont val="맑은 고딕"/>
        <family val="3"/>
        <charset val="129"/>
        <scheme val="minor"/>
      </rPr>
      <t>차트 디자인 → 차트 요소 추가 → 범례 → 위쪽</t>
    </r>
  </si>
  <si>
    <r>
      <t xml:space="preserve">범례가 선택된 상태에서 상단 </t>
    </r>
    <r>
      <rPr>
        <b/>
        <sz val="11"/>
        <color theme="1"/>
        <rFont val="맑은 고딕"/>
        <family val="3"/>
        <charset val="129"/>
        <scheme val="minor"/>
      </rPr>
      <t>서식</t>
    </r>
    <r>
      <rPr>
        <sz val="11"/>
        <color theme="1"/>
        <rFont val="맑은 고딕"/>
        <family val="2"/>
        <charset val="129"/>
        <scheme val="minor"/>
      </rPr>
      <t xml:space="preserve"> 탭으로 이동</t>
    </r>
  </si>
  <si>
    <r>
      <t>도형 스타일</t>
    </r>
    <r>
      <rPr>
        <sz val="11"/>
        <color theme="1"/>
        <rFont val="맑은 고딕"/>
        <family val="2"/>
        <charset val="129"/>
        <scheme val="minor"/>
      </rPr>
      <t xml:space="preserve"> 그룹에서</t>
    </r>
  </si>
  <si>
    <r>
      <t>‘미세 효과 - 파랑, 강조 5’</t>
    </r>
    <r>
      <rPr>
        <sz val="11"/>
        <color theme="1"/>
        <rFont val="맑은 고딕"/>
        <family val="2"/>
        <charset val="129"/>
        <scheme val="minor"/>
      </rPr>
      <t xml:space="preserve"> 선택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</si>
</sst>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@&quot;이사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  <font>
      <sz val="11"/>
      <color rgb="FFFFFF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2" fillId="0" borderId="1" xfId="2" applyBorder="1" applyAlignment="1">
      <alignment horizontal="center" vertical="center"/>
    </xf>
    <xf numFmtId="0" fontId="2" fillId="2" borderId="1" xfId="2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>
      <alignment vertical="center"/>
    </xf>
    <xf numFmtId="0" fontId="9" fillId="0" borderId="0" xfId="0" applyFont="1" applyAlignment="1">
      <alignment horizontal="centerContinuous" vertical="center"/>
    </xf>
    <xf numFmtId="176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8" fillId="3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4" fillId="0" borderId="0" xfId="0" applyFont="1" applyAlignment="1">
      <alignment horizontal="left" vertical="center" indent="1"/>
    </xf>
  </cellXfs>
  <cellStyles count="4">
    <cellStyle name="강조색1" xfId="3" builtinId="29"/>
    <cellStyle name="쉼표 [0]" xfId="1" builtinId="6"/>
    <cellStyle name="표준" xfId="0" builtinId="0"/>
    <cellStyle name="표준 9" xfId="2" xr:uid="{DA27A2C8-F3EA-42B8-B6C8-D96964547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(차트작업!$B$4,차트작업!$B$7:$B$9)</c:f>
              <c:numCache>
                <c:formatCode>#,##0_ </c:formatCode>
                <c:ptCount val="4"/>
                <c:pt idx="0">
                  <c:v>565</c:v>
                </c:pt>
                <c:pt idx="1">
                  <c:v>388</c:v>
                </c:pt>
                <c:pt idx="2">
                  <c:v>684</c:v>
                </c:pt>
                <c:pt idx="3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87A-BD6D-C56B2AA0ABA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(차트작업!$C$4,차트작업!$C$7:$C$9)</c:f>
              <c:numCache>
                <c:formatCode>#,##0_ </c:formatCode>
                <c:ptCount val="4"/>
                <c:pt idx="0">
                  <c:v>469</c:v>
                </c:pt>
                <c:pt idx="1">
                  <c:v>322</c:v>
                </c:pt>
                <c:pt idx="2">
                  <c:v>568</c:v>
                </c:pt>
                <c:pt idx="3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87A-BD6D-C56B2AA0ABA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(차트작업!$D$4,차트작업!$D$7:$D$9)</c:f>
              <c:numCache>
                <c:formatCode>#,##0_ </c:formatCode>
                <c:ptCount val="4"/>
                <c:pt idx="0">
                  <c:v>525</c:v>
                </c:pt>
                <c:pt idx="1">
                  <c:v>361</c:v>
                </c:pt>
                <c:pt idx="2">
                  <c:v>636</c:v>
                </c:pt>
                <c:pt idx="3">
                  <c:v>551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38FF-487A-BD6D-C56B2AA0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447346608"/>
        <c:axId val="447347440"/>
        <c:axId val="0"/>
      </c:bar3D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chart" Target="../charts/chart1.xml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12</xdr:col>
      <xdr:colOff>48803</xdr:colOff>
      <xdr:row>27</xdr:row>
      <xdr:rowOff>66977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3F3F012-9F68-E213-4452-FD2BB517A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62350"/>
          <a:ext cx="8440328" cy="216247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457360</xdr:colOff>
      <xdr:row>27</xdr:row>
      <xdr:rowOff>28784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16B8E9F-DB9D-449A-A4E5-98A98C887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3125" y="4362450"/>
          <a:ext cx="1143160" cy="149563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19</xdr:col>
      <xdr:colOff>257689</xdr:colOff>
      <xdr:row>44</xdr:row>
      <xdr:rowOff>48100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1DF41D-EF56-C119-9CE7-08E22764F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63125" y="6038850"/>
          <a:ext cx="3686689" cy="3400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48</xdr:row>
      <xdr:rowOff>0</xdr:rowOff>
    </xdr:from>
    <xdr:to>
      <xdr:col>21</xdr:col>
      <xdr:colOff>667513</xdr:colOff>
      <xdr:row>65</xdr:row>
      <xdr:rowOff>162445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773EA04-BCEA-3032-FF6C-436F0D96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3125" y="10229850"/>
          <a:ext cx="5468113" cy="3724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542925</xdr:colOff>
      <xdr:row>31</xdr:row>
      <xdr:rowOff>190500</xdr:rowOff>
    </xdr:from>
    <xdr:to>
      <xdr:col>20</xdr:col>
      <xdr:colOff>400892</xdr:colOff>
      <xdr:row>48</xdr:row>
      <xdr:rowOff>190997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7027C4-EF33-17D0-3FAC-EAFA0ECBD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6875" y="6734175"/>
          <a:ext cx="6030167" cy="35628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10</xdr:col>
      <xdr:colOff>372652</xdr:colOff>
      <xdr:row>40</xdr:row>
      <xdr:rowOff>114521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5D55D4E-113D-0F45-40B1-C6D8A1EB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430802" cy="1581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11</xdr:col>
      <xdr:colOff>248803</xdr:colOff>
      <xdr:row>63</xdr:row>
      <xdr:rowOff>77030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FF9B828-C5E9-AB71-13CB-D8F63F8CB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8259328" cy="594443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30</xdr:col>
      <xdr:colOff>630269</xdr:colOff>
      <xdr:row>56</xdr:row>
      <xdr:rowOff>95877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8E648AC-5D9C-FD7D-AE8E-CB09C8DCF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7925" y="7381875"/>
          <a:ext cx="11603069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12</xdr:col>
      <xdr:colOff>58321</xdr:colOff>
      <xdr:row>25</xdr:row>
      <xdr:rowOff>47778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7730B4-B656-435B-7817-1647D3943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91000"/>
          <a:ext cx="8392696" cy="109552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104885</xdr:colOff>
      <xdr:row>23</xdr:row>
      <xdr:rowOff>95351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B98834-1C5C-A559-7A22-7FF4E279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191000"/>
          <a:ext cx="790685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25</xdr:row>
      <xdr:rowOff>0</xdr:rowOff>
    </xdr:from>
    <xdr:to>
      <xdr:col>20</xdr:col>
      <xdr:colOff>314943</xdr:colOff>
      <xdr:row>45</xdr:row>
      <xdr:rowOff>153006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5C43408-F697-A515-56B6-81845FD72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5238750"/>
          <a:ext cx="4429743" cy="434400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5</xdr:col>
      <xdr:colOff>0</xdr:colOff>
      <xdr:row>12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47B318A-7835-AB78-4528-DAD8BFB209A2}"/>
            </a:ext>
          </a:extLst>
        </xdr:cNvPr>
        <xdr:cNvSpPr/>
      </xdr:nvSpPr>
      <xdr:spPr>
        <a:xfrm>
          <a:off x="2057400" y="21431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A277D39-430B-4FEA-9028-D1BAF16AB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31</xdr:row>
      <xdr:rowOff>0</xdr:rowOff>
    </xdr:from>
    <xdr:to>
      <xdr:col>11</xdr:col>
      <xdr:colOff>363068</xdr:colOff>
      <xdr:row>52</xdr:row>
      <xdr:rowOff>133983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5F8B620-0FB3-E6BA-5BD0-7E3CDCFDE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543675"/>
          <a:ext cx="8011643" cy="4534533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31</xdr:row>
      <xdr:rowOff>0</xdr:rowOff>
    </xdr:from>
    <xdr:to>
      <xdr:col>17</xdr:col>
      <xdr:colOff>333804</xdr:colOff>
      <xdr:row>54</xdr:row>
      <xdr:rowOff>38778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8F09F10-FF2F-D185-5971-4EE0012CD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20175" y="6543675"/>
          <a:ext cx="3077004" cy="485842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57</xdr:row>
      <xdr:rowOff>0</xdr:rowOff>
    </xdr:from>
    <xdr:to>
      <xdr:col>22</xdr:col>
      <xdr:colOff>29440</xdr:colOff>
      <xdr:row>84</xdr:row>
      <xdr:rowOff>29369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34240E5-AE98-52D0-3470-CE2F79BEC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0175" y="11991975"/>
          <a:ext cx="6201640" cy="5687219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57</xdr:row>
      <xdr:rowOff>0</xdr:rowOff>
    </xdr:from>
    <xdr:to>
      <xdr:col>26</xdr:col>
      <xdr:colOff>114603</xdr:colOff>
      <xdr:row>73</xdr:row>
      <xdr:rowOff>48100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DD659A1C-E579-84EE-6BED-7B470C146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878175" y="11991975"/>
          <a:ext cx="2172003" cy="34009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101</xdr:row>
      <xdr:rowOff>0</xdr:rowOff>
    </xdr:from>
    <xdr:to>
      <xdr:col>16</xdr:col>
      <xdr:colOff>438498</xdr:colOff>
      <xdr:row>127</xdr:row>
      <xdr:rowOff>67445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439A37F-2237-FBCA-7A60-7AB920D7D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0175" y="21212175"/>
          <a:ext cx="2495898" cy="551574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101</xdr:row>
      <xdr:rowOff>0</xdr:rowOff>
    </xdr:from>
    <xdr:to>
      <xdr:col>22</xdr:col>
      <xdr:colOff>448216</xdr:colOff>
      <xdr:row>129</xdr:row>
      <xdr:rowOff>48451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1107CA7D-5AED-F654-6D50-4FE1538BC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763375" y="21212175"/>
          <a:ext cx="3877216" cy="59158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8"/>
  <sheetViews>
    <sheetView workbookViewId="0"/>
  </sheetViews>
  <sheetFormatPr defaultRowHeight="16.5"/>
  <cols>
    <col min="2" max="2" width="12.375" bestFit="1" customWidth="1"/>
    <col min="4" max="4" width="10.75" bestFit="1" customWidth="1"/>
  </cols>
  <sheetData>
    <row r="1" spans="1:7">
      <c r="A1" t="s">
        <v>0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7"/>
      <c r="E4" s="2"/>
      <c r="F4" s="2"/>
      <c r="G4" s="1"/>
    </row>
    <row r="5" spans="1:7">
      <c r="A5" s="1"/>
      <c r="B5" s="1"/>
      <c r="C5" s="1"/>
      <c r="D5" s="17"/>
      <c r="E5" s="2"/>
      <c r="F5" s="2"/>
      <c r="G5" s="1"/>
    </row>
    <row r="6" spans="1:7">
      <c r="A6" s="1"/>
      <c r="B6" s="1"/>
      <c r="C6" s="1"/>
      <c r="D6" s="17"/>
      <c r="E6" s="2"/>
      <c r="F6" s="2"/>
      <c r="G6" s="1"/>
    </row>
    <row r="7" spans="1:7">
      <c r="A7" s="1"/>
      <c r="B7" s="1"/>
      <c r="C7" s="1"/>
      <c r="D7" s="17"/>
      <c r="E7" s="2"/>
      <c r="F7" s="2"/>
      <c r="G7" s="1"/>
    </row>
    <row r="8" spans="1:7">
      <c r="A8" s="1"/>
      <c r="B8" s="1"/>
      <c r="C8" s="1"/>
      <c r="D8" s="17"/>
      <c r="E8" s="2"/>
      <c r="F8" s="2"/>
      <c r="G8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8EB9-534D-44A2-BD54-B234F05ECBA2}">
  <dimension ref="A1:O47"/>
  <sheetViews>
    <sheetView topLeftCell="A15" workbookViewId="0">
      <selection activeCell="K9" sqref="K9"/>
    </sheetView>
  </sheetViews>
  <sheetFormatPr defaultRowHeight="16.5"/>
  <cols>
    <col min="2" max="2" width="9.5" bestFit="1" customWidth="1"/>
    <col min="7" max="7" width="10.625" bestFit="1" customWidth="1"/>
  </cols>
  <sheetData>
    <row r="1" spans="1:10" ht="30" customHeight="1">
      <c r="A1" s="19" t="s">
        <v>1</v>
      </c>
      <c r="B1" s="19"/>
      <c r="C1" s="19"/>
      <c r="D1" s="19"/>
      <c r="E1" s="19"/>
      <c r="F1" s="19"/>
      <c r="G1" s="19"/>
      <c r="J1" s="18" t="s">
        <v>203</v>
      </c>
    </row>
    <row r="2" spans="1:10" ht="17.25" thickBot="1"/>
    <row r="3" spans="1:10">
      <c r="A3" s="22" t="s">
        <v>2</v>
      </c>
      <c r="B3" s="23" t="s">
        <v>3</v>
      </c>
      <c r="C3" s="23" t="s">
        <v>4</v>
      </c>
      <c r="D3" s="23" t="s">
        <v>5</v>
      </c>
      <c r="E3" s="23" t="s">
        <v>205</v>
      </c>
      <c r="F3" s="23" t="s">
        <v>6</v>
      </c>
      <c r="G3" s="24" t="s">
        <v>7</v>
      </c>
    </row>
    <row r="4" spans="1:10">
      <c r="A4" s="25" t="s">
        <v>8</v>
      </c>
      <c r="B4" s="20">
        <v>46113</v>
      </c>
      <c r="C4" s="3" t="s">
        <v>9</v>
      </c>
      <c r="D4" s="21" t="s">
        <v>10</v>
      </c>
      <c r="E4" s="3">
        <v>7.5</v>
      </c>
      <c r="F4" s="3">
        <v>6</v>
      </c>
      <c r="G4" s="26">
        <v>2200000</v>
      </c>
    </row>
    <row r="5" spans="1:10">
      <c r="A5" s="25" t="s">
        <v>11</v>
      </c>
      <c r="B5" s="20">
        <v>46115</v>
      </c>
      <c r="C5" s="3" t="s">
        <v>12</v>
      </c>
      <c r="D5" s="21" t="s">
        <v>13</v>
      </c>
      <c r="E5" s="3">
        <v>3</v>
      </c>
      <c r="F5" s="3">
        <v>3</v>
      </c>
      <c r="G5" s="26">
        <v>800000</v>
      </c>
    </row>
    <row r="6" spans="1:10">
      <c r="A6" s="25" t="s">
        <v>14</v>
      </c>
      <c r="B6" s="20">
        <v>46116</v>
      </c>
      <c r="C6" s="3" t="s">
        <v>15</v>
      </c>
      <c r="D6" s="21" t="s">
        <v>10</v>
      </c>
      <c r="E6" s="3">
        <v>5</v>
      </c>
      <c r="F6" s="3">
        <v>5</v>
      </c>
      <c r="G6" s="26">
        <v>2000000</v>
      </c>
    </row>
    <row r="7" spans="1:10">
      <c r="A7" s="25" t="s">
        <v>16</v>
      </c>
      <c r="B7" s="20">
        <v>46118</v>
      </c>
      <c r="C7" s="3" t="s">
        <v>17</v>
      </c>
      <c r="D7" s="21" t="s">
        <v>18</v>
      </c>
      <c r="E7" s="3">
        <v>12</v>
      </c>
      <c r="F7" s="3">
        <v>9</v>
      </c>
      <c r="G7" s="26">
        <v>3600000</v>
      </c>
    </row>
    <row r="8" spans="1:10">
      <c r="A8" s="25" t="s">
        <v>19</v>
      </c>
      <c r="B8" s="20">
        <v>46118</v>
      </c>
      <c r="C8" s="3" t="s">
        <v>20</v>
      </c>
      <c r="D8" s="21" t="s">
        <v>10</v>
      </c>
      <c r="E8" s="3">
        <v>7.5</v>
      </c>
      <c r="F8" s="3">
        <v>6</v>
      </c>
      <c r="G8" s="26">
        <v>2200000</v>
      </c>
    </row>
    <row r="9" spans="1:10">
      <c r="A9" s="25" t="s">
        <v>21</v>
      </c>
      <c r="B9" s="20">
        <v>46123</v>
      </c>
      <c r="C9" s="3" t="s">
        <v>22</v>
      </c>
      <c r="D9" s="21" t="s">
        <v>10</v>
      </c>
      <c r="E9" s="3">
        <v>8</v>
      </c>
      <c r="F9" s="3">
        <v>6</v>
      </c>
      <c r="G9" s="26">
        <v>2400000</v>
      </c>
    </row>
    <row r="10" spans="1:10">
      <c r="A10" s="25" t="s">
        <v>23</v>
      </c>
      <c r="B10" s="20">
        <v>46124</v>
      </c>
      <c r="C10" s="3" t="s">
        <v>24</v>
      </c>
      <c r="D10" s="21" t="s">
        <v>18</v>
      </c>
      <c r="E10" s="3">
        <v>15</v>
      </c>
      <c r="F10" s="3">
        <v>12</v>
      </c>
      <c r="G10" s="26">
        <v>4200000</v>
      </c>
    </row>
    <row r="11" spans="1:10">
      <c r="A11" s="25" t="s">
        <v>25</v>
      </c>
      <c r="B11" s="20">
        <v>46124</v>
      </c>
      <c r="C11" s="3" t="s">
        <v>26</v>
      </c>
      <c r="D11" s="21" t="s">
        <v>13</v>
      </c>
      <c r="E11" s="3">
        <v>2.5</v>
      </c>
      <c r="F11" s="3">
        <v>3</v>
      </c>
      <c r="G11" s="26">
        <v>700000</v>
      </c>
    </row>
    <row r="12" spans="1:10">
      <c r="A12" s="25" t="s">
        <v>27</v>
      </c>
      <c r="B12" s="20">
        <v>46128</v>
      </c>
      <c r="C12" s="3" t="s">
        <v>28</v>
      </c>
      <c r="D12" s="21" t="s">
        <v>10</v>
      </c>
      <c r="E12" s="3">
        <v>5</v>
      </c>
      <c r="F12" s="3">
        <v>5</v>
      </c>
      <c r="G12" s="26">
        <v>2000000</v>
      </c>
    </row>
    <row r="13" spans="1:10" ht="17.25" thickBot="1">
      <c r="A13" s="27" t="s">
        <v>29</v>
      </c>
      <c r="B13" s="28">
        <v>46131</v>
      </c>
      <c r="C13" s="29" t="s">
        <v>30</v>
      </c>
      <c r="D13" s="30" t="s">
        <v>18</v>
      </c>
      <c r="E13" s="29">
        <v>10</v>
      </c>
      <c r="F13" s="29">
        <v>8</v>
      </c>
      <c r="G13" s="31">
        <v>3200000</v>
      </c>
    </row>
    <row r="19" spans="14:15">
      <c r="N19">
        <v>1</v>
      </c>
      <c r="O19" t="s">
        <v>204</v>
      </c>
    </row>
    <row r="21" spans="14:15">
      <c r="N21">
        <v>2</v>
      </c>
    </row>
    <row r="29" spans="14:15">
      <c r="N29">
        <v>3</v>
      </c>
    </row>
    <row r="47" spans="14:15">
      <c r="N47">
        <v>4</v>
      </c>
      <c r="O47" t="s">
        <v>206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9CD7-D2D9-430F-A9C2-7E9A7A97E70C}">
  <dimension ref="A1:F28"/>
  <sheetViews>
    <sheetView topLeftCell="A9" workbookViewId="0">
      <selection activeCell="K28" sqref="K28"/>
    </sheetView>
  </sheetViews>
  <sheetFormatPr defaultRowHeight="16.5"/>
  <cols>
    <col min="1" max="1" width="11.125" customWidth="1"/>
    <col min="2" max="2" width="10.625" customWidth="1"/>
    <col min="3" max="3" width="11.625" customWidth="1"/>
    <col min="4" max="6" width="12.125" customWidth="1"/>
  </cols>
  <sheetData>
    <row r="1" spans="1:6" ht="20.25">
      <c r="A1" s="35" t="s">
        <v>31</v>
      </c>
      <c r="B1" s="35"/>
      <c r="C1" s="35"/>
      <c r="D1" s="35"/>
      <c r="E1" s="35"/>
      <c r="F1" s="35"/>
    </row>
    <row r="3" spans="1:6">
      <c r="A3" s="3" t="s">
        <v>32</v>
      </c>
      <c r="B3" s="3" t="s">
        <v>33</v>
      </c>
      <c r="C3" s="3" t="s">
        <v>34</v>
      </c>
      <c r="D3" s="3" t="s">
        <v>35</v>
      </c>
      <c r="E3" s="3" t="s">
        <v>36</v>
      </c>
      <c r="F3" s="3" t="s">
        <v>37</v>
      </c>
    </row>
    <row r="4" spans="1:6">
      <c r="A4" s="4">
        <v>46145</v>
      </c>
      <c r="B4" s="3" t="s">
        <v>38</v>
      </c>
      <c r="C4" s="3" t="s">
        <v>39</v>
      </c>
      <c r="D4" s="5">
        <v>37500</v>
      </c>
      <c r="E4" s="5">
        <v>900</v>
      </c>
      <c r="F4" s="5">
        <f>D4*E4</f>
        <v>33750000</v>
      </c>
    </row>
    <row r="5" spans="1:6">
      <c r="A5" s="4">
        <v>46145</v>
      </c>
      <c r="B5" s="3" t="s">
        <v>40</v>
      </c>
      <c r="C5" s="3" t="s">
        <v>41</v>
      </c>
      <c r="D5" s="5">
        <v>29400</v>
      </c>
      <c r="E5" s="5">
        <v>1000</v>
      </c>
      <c r="F5" s="5">
        <f t="shared" ref="F5:F16" si="0">D5*E5</f>
        <v>29400000</v>
      </c>
    </row>
    <row r="6" spans="1:6">
      <c r="A6" s="4">
        <v>46145</v>
      </c>
      <c r="B6" s="3" t="s">
        <v>42</v>
      </c>
      <c r="C6" s="3" t="s">
        <v>43</v>
      </c>
      <c r="D6" s="5">
        <v>23100</v>
      </c>
      <c r="E6" s="5">
        <v>1100</v>
      </c>
      <c r="F6" s="5">
        <f t="shared" si="0"/>
        <v>25410000</v>
      </c>
    </row>
    <row r="7" spans="1:6">
      <c r="A7" s="4">
        <v>46145</v>
      </c>
      <c r="B7" s="3" t="s">
        <v>44</v>
      </c>
      <c r="C7" s="3" t="s">
        <v>45</v>
      </c>
      <c r="D7" s="5">
        <v>30600</v>
      </c>
      <c r="E7" s="5">
        <v>950</v>
      </c>
      <c r="F7" s="5">
        <f t="shared" si="0"/>
        <v>29070000</v>
      </c>
    </row>
    <row r="8" spans="1:6">
      <c r="A8" s="4">
        <v>46150</v>
      </c>
      <c r="B8" s="3" t="s">
        <v>46</v>
      </c>
      <c r="C8" s="3" t="s">
        <v>47</v>
      </c>
      <c r="D8" s="5">
        <v>27600</v>
      </c>
      <c r="E8" s="5">
        <v>900</v>
      </c>
      <c r="F8" s="5">
        <f t="shared" si="0"/>
        <v>24840000</v>
      </c>
    </row>
    <row r="9" spans="1:6">
      <c r="A9" s="4">
        <v>46150</v>
      </c>
      <c r="B9" s="3" t="s">
        <v>48</v>
      </c>
      <c r="C9" s="3" t="s">
        <v>49</v>
      </c>
      <c r="D9" s="5">
        <v>32500</v>
      </c>
      <c r="E9" s="5">
        <v>1100</v>
      </c>
      <c r="F9" s="5">
        <f t="shared" si="0"/>
        <v>35750000</v>
      </c>
    </row>
    <row r="10" spans="1:6">
      <c r="A10" s="4">
        <v>46150</v>
      </c>
      <c r="B10" s="3" t="s">
        <v>50</v>
      </c>
      <c r="C10" s="3" t="s">
        <v>51</v>
      </c>
      <c r="D10" s="5">
        <v>28800</v>
      </c>
      <c r="E10" s="5">
        <v>1500</v>
      </c>
      <c r="F10" s="5">
        <f t="shared" si="0"/>
        <v>43200000</v>
      </c>
    </row>
    <row r="11" spans="1:6">
      <c r="A11" s="4">
        <v>46152</v>
      </c>
      <c r="B11" s="3" t="s">
        <v>38</v>
      </c>
      <c r="C11" s="3" t="s">
        <v>39</v>
      </c>
      <c r="D11" s="5">
        <v>37500</v>
      </c>
      <c r="E11" s="5">
        <v>1200</v>
      </c>
      <c r="F11" s="5">
        <f t="shared" si="0"/>
        <v>45000000</v>
      </c>
    </row>
    <row r="12" spans="1:6">
      <c r="A12" s="4">
        <v>46152</v>
      </c>
      <c r="B12" s="3" t="s">
        <v>44</v>
      </c>
      <c r="C12" s="3" t="s">
        <v>45</v>
      </c>
      <c r="D12" s="5">
        <v>30600</v>
      </c>
      <c r="E12" s="5">
        <v>800</v>
      </c>
      <c r="F12" s="5">
        <f t="shared" si="0"/>
        <v>24480000</v>
      </c>
    </row>
    <row r="13" spans="1:6">
      <c r="A13" s="4">
        <v>46156</v>
      </c>
      <c r="B13" s="3" t="s">
        <v>48</v>
      </c>
      <c r="C13" s="3" t="s">
        <v>49</v>
      </c>
      <c r="D13" s="5">
        <v>32500</v>
      </c>
      <c r="E13" s="5">
        <v>1250</v>
      </c>
      <c r="F13" s="5">
        <f t="shared" si="0"/>
        <v>40625000</v>
      </c>
    </row>
    <row r="14" spans="1:6">
      <c r="A14" s="4">
        <v>46156</v>
      </c>
      <c r="B14" s="3" t="s">
        <v>40</v>
      </c>
      <c r="C14" s="3" t="s">
        <v>41</v>
      </c>
      <c r="D14" s="5">
        <v>29400</v>
      </c>
      <c r="E14" s="5">
        <v>900</v>
      </c>
      <c r="F14" s="5">
        <f t="shared" si="0"/>
        <v>26460000</v>
      </c>
    </row>
    <row r="15" spans="1:6">
      <c r="A15" s="4">
        <v>46156</v>
      </c>
      <c r="B15" s="3" t="s">
        <v>46</v>
      </c>
      <c r="C15" s="3" t="s">
        <v>47</v>
      </c>
      <c r="D15" s="5">
        <v>27600</v>
      </c>
      <c r="E15" s="5">
        <v>1000</v>
      </c>
      <c r="F15" s="5">
        <f t="shared" si="0"/>
        <v>27600000</v>
      </c>
    </row>
    <row r="16" spans="1:6">
      <c r="A16" s="4">
        <v>46156</v>
      </c>
      <c r="B16" s="3" t="s">
        <v>42</v>
      </c>
      <c r="C16" s="3" t="s">
        <v>43</v>
      </c>
      <c r="D16" s="5">
        <v>23100</v>
      </c>
      <c r="E16" s="5">
        <v>1150</v>
      </c>
      <c r="F16" s="5">
        <f t="shared" si="0"/>
        <v>26565000</v>
      </c>
    </row>
    <row r="19" spans="1:6">
      <c r="A19" s="1" t="s">
        <v>37</v>
      </c>
      <c r="B19" s="1" t="s">
        <v>36</v>
      </c>
    </row>
    <row r="20" spans="1:6">
      <c r="A20" s="1"/>
      <c r="B20" s="1" t="s">
        <v>207</v>
      </c>
    </row>
    <row r="21" spans="1:6">
      <c r="A21" s="1" t="s">
        <v>208</v>
      </c>
      <c r="B21" s="1"/>
    </row>
    <row r="24" spans="1:6">
      <c r="A24" s="1" t="s">
        <v>33</v>
      </c>
      <c r="B24" s="1" t="s">
        <v>35</v>
      </c>
      <c r="C24" s="1" t="s">
        <v>36</v>
      </c>
      <c r="D24" s="1"/>
      <c r="E24" s="1"/>
      <c r="F24" s="1"/>
    </row>
    <row r="25" spans="1:6">
      <c r="A25" s="3" t="s">
        <v>46</v>
      </c>
      <c r="B25" s="5">
        <v>27600</v>
      </c>
      <c r="C25" s="5">
        <v>900</v>
      </c>
    </row>
    <row r="26" spans="1:6">
      <c r="A26" s="3" t="s">
        <v>50</v>
      </c>
      <c r="B26" s="5">
        <v>28800</v>
      </c>
      <c r="C26" s="5">
        <v>1500</v>
      </c>
    </row>
    <row r="27" spans="1:6">
      <c r="A27" s="3" t="s">
        <v>44</v>
      </c>
      <c r="B27" s="5">
        <v>30600</v>
      </c>
      <c r="C27" s="5">
        <v>800</v>
      </c>
    </row>
    <row r="28" spans="1:6">
      <c r="A28" s="3" t="s">
        <v>48</v>
      </c>
      <c r="B28" s="5">
        <v>32500</v>
      </c>
      <c r="C28" s="5">
        <v>1250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I40"/>
  <sheetViews>
    <sheetView topLeftCell="A10" workbookViewId="0">
      <selection activeCell="F32" sqref="F32"/>
    </sheetView>
  </sheetViews>
  <sheetFormatPr defaultRowHeight="16.5"/>
  <cols>
    <col min="3" max="3" width="10.625" bestFit="1" customWidth="1"/>
    <col min="7" max="7" width="10.375" bestFit="1" customWidth="1"/>
  </cols>
  <sheetData>
    <row r="1" spans="1:9">
      <c r="A1" s="11" t="s">
        <v>120</v>
      </c>
      <c r="B1" s="12" t="s">
        <v>104</v>
      </c>
      <c r="F1" s="14" t="s">
        <v>126</v>
      </c>
      <c r="G1" s="12" t="s">
        <v>121</v>
      </c>
    </row>
    <row r="2" spans="1:9">
      <c r="A2" s="3" t="s">
        <v>105</v>
      </c>
      <c r="B2" s="3" t="s">
        <v>106</v>
      </c>
      <c r="C2" s="3" t="s">
        <v>107</v>
      </c>
      <c r="D2" s="13" t="s">
        <v>108</v>
      </c>
      <c r="F2" s="3" t="s">
        <v>122</v>
      </c>
      <c r="G2" s="3" t="s">
        <v>123</v>
      </c>
      <c r="H2" s="3" t="s">
        <v>124</v>
      </c>
    </row>
    <row r="3" spans="1:9">
      <c r="A3" s="3" t="s">
        <v>109</v>
      </c>
      <c r="B3" s="3" t="s">
        <v>110</v>
      </c>
      <c r="C3" s="5">
        <v>3524000</v>
      </c>
      <c r="D3" s="3" t="str">
        <f>IF(C3&gt;=LARGE($C$3:$C$11,3),"◆",IF(C3&lt;=SMALL($C$3:$C$11,3),"◇",""))</f>
        <v>◆</v>
      </c>
      <c r="F3" s="3">
        <v>1270121</v>
      </c>
      <c r="G3" s="3">
        <v>92</v>
      </c>
      <c r="H3" s="3">
        <v>76</v>
      </c>
    </row>
    <row r="4" spans="1:9">
      <c r="A4" s="3" t="s">
        <v>111</v>
      </c>
      <c r="B4" s="3" t="s">
        <v>110</v>
      </c>
      <c r="C4" s="5">
        <v>883000</v>
      </c>
      <c r="D4" s="3" t="str">
        <f t="shared" ref="D4:D11" si="0">IF(C4&gt;=LARGE($C$3:$C$11,3),"◆",IF(C4&lt;=SMALL($C$3:$C$11,3),"◇",""))</f>
        <v>◇</v>
      </c>
      <c r="F4" s="3">
        <v>1270122</v>
      </c>
      <c r="G4" s="3">
        <v>38</v>
      </c>
      <c r="H4" s="3">
        <v>55</v>
      </c>
    </row>
    <row r="5" spans="1:9">
      <c r="A5" s="3" t="s">
        <v>112</v>
      </c>
      <c r="B5" s="3" t="s">
        <v>113</v>
      </c>
      <c r="C5" s="5">
        <v>1380000</v>
      </c>
      <c r="D5" s="3" t="str">
        <f t="shared" si="0"/>
        <v>◇</v>
      </c>
      <c r="F5" s="3">
        <v>1270123</v>
      </c>
      <c r="G5" s="3">
        <v>86</v>
      </c>
      <c r="H5" s="3">
        <v>92</v>
      </c>
    </row>
    <row r="6" spans="1:9">
      <c r="A6" s="3" t="s">
        <v>114</v>
      </c>
      <c r="B6" s="3" t="s">
        <v>110</v>
      </c>
      <c r="C6" s="5">
        <v>4921000</v>
      </c>
      <c r="D6" s="3" t="str">
        <f t="shared" si="0"/>
        <v>◆</v>
      </c>
      <c r="F6" s="3">
        <v>1270124</v>
      </c>
      <c r="G6" s="3">
        <v>62</v>
      </c>
      <c r="H6" s="3">
        <v>48</v>
      </c>
    </row>
    <row r="7" spans="1:9">
      <c r="A7" s="3" t="s">
        <v>115</v>
      </c>
      <c r="B7" s="3" t="s">
        <v>113</v>
      </c>
      <c r="C7" s="5">
        <v>1665000</v>
      </c>
      <c r="D7" s="3" t="str">
        <f t="shared" si="0"/>
        <v/>
      </c>
      <c r="F7" s="3">
        <v>1270125</v>
      </c>
      <c r="G7" s="3">
        <v>91</v>
      </c>
      <c r="H7" s="3">
        <v>93</v>
      </c>
    </row>
    <row r="8" spans="1:9">
      <c r="A8" s="3" t="s">
        <v>116</v>
      </c>
      <c r="B8" s="3" t="s">
        <v>110</v>
      </c>
      <c r="C8" s="5">
        <v>967000</v>
      </c>
      <c r="D8" s="3" t="str">
        <f t="shared" si="0"/>
        <v>◇</v>
      </c>
      <c r="F8" s="3">
        <v>1270126</v>
      </c>
      <c r="G8" s="3">
        <v>49</v>
      </c>
      <c r="H8" s="3">
        <v>56</v>
      </c>
    </row>
    <row r="9" spans="1:9">
      <c r="A9" s="3" t="s">
        <v>117</v>
      </c>
      <c r="B9" s="3" t="s">
        <v>113</v>
      </c>
      <c r="C9" s="5">
        <v>2498000</v>
      </c>
      <c r="D9" s="3" t="str">
        <f t="shared" si="0"/>
        <v/>
      </c>
      <c r="F9" s="3">
        <v>1270127</v>
      </c>
      <c r="G9" s="3">
        <v>89</v>
      </c>
      <c r="H9" s="3">
        <v>93</v>
      </c>
    </row>
    <row r="10" spans="1:9">
      <c r="A10" s="3" t="s">
        <v>118</v>
      </c>
      <c r="B10" s="3" t="s">
        <v>110</v>
      </c>
      <c r="C10" s="5">
        <v>5240000</v>
      </c>
      <c r="D10" s="3" t="str">
        <f t="shared" si="0"/>
        <v>◆</v>
      </c>
      <c r="F10" s="3">
        <v>1270128</v>
      </c>
      <c r="G10" s="3">
        <v>67</v>
      </c>
      <c r="H10" s="3">
        <v>68</v>
      </c>
    </row>
    <row r="11" spans="1:9">
      <c r="A11" s="3" t="s">
        <v>119</v>
      </c>
      <c r="B11" s="3" t="s">
        <v>113</v>
      </c>
      <c r="C11" s="5">
        <v>2012000</v>
      </c>
      <c r="D11" s="3" t="str">
        <f t="shared" si="0"/>
        <v/>
      </c>
      <c r="F11" s="36" t="s">
        <v>125</v>
      </c>
      <c r="G11" s="37"/>
      <c r="H11" s="6">
        <f>COUNTIFS(G3:G10,"&gt;=60",H3:H10,"&gt;=60")/COUNTA(F3:F10)</f>
        <v>0.625</v>
      </c>
    </row>
    <row r="13" spans="1:9">
      <c r="A13" s="14" t="s">
        <v>150</v>
      </c>
      <c r="B13" s="12" t="s">
        <v>127</v>
      </c>
      <c r="F13" s="14" t="s">
        <v>180</v>
      </c>
      <c r="G13" s="12" t="s">
        <v>151</v>
      </c>
    </row>
    <row r="14" spans="1:9">
      <c r="A14" s="3" t="s">
        <v>128</v>
      </c>
      <c r="B14" s="3" t="s">
        <v>106</v>
      </c>
      <c r="C14" s="3" t="s">
        <v>108</v>
      </c>
      <c r="D14" s="13" t="s">
        <v>129</v>
      </c>
      <c r="F14" s="3" t="s">
        <v>96</v>
      </c>
      <c r="G14" s="3" t="s">
        <v>152</v>
      </c>
      <c r="H14" s="3" t="s">
        <v>36</v>
      </c>
      <c r="I14" s="3" t="s">
        <v>153</v>
      </c>
    </row>
    <row r="15" spans="1:9">
      <c r="A15" s="3" t="s">
        <v>130</v>
      </c>
      <c r="B15" s="3" t="s">
        <v>113</v>
      </c>
      <c r="C15" s="3" t="s">
        <v>131</v>
      </c>
      <c r="D15" s="3" t="str">
        <f>HLOOKUP(MID(A15,3,1),$B$27:$D$28,2,FALSE)</f>
        <v>경기</v>
      </c>
      <c r="F15" s="3" t="s">
        <v>99</v>
      </c>
      <c r="G15" s="3" t="s">
        <v>154</v>
      </c>
      <c r="H15" s="3">
        <v>23</v>
      </c>
      <c r="I15" s="5">
        <v>41400</v>
      </c>
    </row>
    <row r="16" spans="1:9">
      <c r="A16" s="3" t="s">
        <v>132</v>
      </c>
      <c r="B16" s="3" t="s">
        <v>110</v>
      </c>
      <c r="C16" s="3" t="s">
        <v>133</v>
      </c>
      <c r="D16" s="3" t="str">
        <f t="shared" ref="D16:D24" si="1">HLOOKUP(MID(A16,3,1),$B$27:$D$28,2,FALSE)</f>
        <v>서울</v>
      </c>
      <c r="F16" s="3" t="s">
        <v>155</v>
      </c>
      <c r="G16" s="3" t="s">
        <v>156</v>
      </c>
      <c r="H16" s="3">
        <v>37</v>
      </c>
      <c r="I16" s="5">
        <v>74000</v>
      </c>
    </row>
    <row r="17" spans="1:9">
      <c r="A17" s="3" t="s">
        <v>134</v>
      </c>
      <c r="B17" s="3" t="s">
        <v>110</v>
      </c>
      <c r="C17" s="3" t="s">
        <v>133</v>
      </c>
      <c r="D17" s="3" t="str">
        <f t="shared" si="1"/>
        <v>부산</v>
      </c>
      <c r="F17" s="3" t="s">
        <v>155</v>
      </c>
      <c r="G17" s="3" t="s">
        <v>157</v>
      </c>
      <c r="H17" s="3">
        <v>51</v>
      </c>
      <c r="I17" s="5">
        <v>84150</v>
      </c>
    </row>
    <row r="18" spans="1:9">
      <c r="A18" s="3" t="s">
        <v>135</v>
      </c>
      <c r="B18" s="3" t="s">
        <v>113</v>
      </c>
      <c r="C18" s="3" t="s">
        <v>133</v>
      </c>
      <c r="D18" s="3" t="str">
        <f t="shared" si="1"/>
        <v>부산</v>
      </c>
      <c r="F18" s="3" t="s">
        <v>155</v>
      </c>
      <c r="G18" s="3" t="s">
        <v>158</v>
      </c>
      <c r="H18" s="3">
        <v>19</v>
      </c>
      <c r="I18" s="5">
        <v>23750</v>
      </c>
    </row>
    <row r="19" spans="1:9">
      <c r="A19" s="3" t="s">
        <v>136</v>
      </c>
      <c r="B19" s="3" t="s">
        <v>110</v>
      </c>
      <c r="C19" s="3" t="s">
        <v>131</v>
      </c>
      <c r="D19" s="3" t="str">
        <f t="shared" si="1"/>
        <v>서울</v>
      </c>
      <c r="F19" s="3" t="s">
        <v>99</v>
      </c>
      <c r="G19" s="3" t="s">
        <v>159</v>
      </c>
      <c r="H19" s="3">
        <v>34</v>
      </c>
      <c r="I19" s="5">
        <v>74800</v>
      </c>
    </row>
    <row r="20" spans="1:9">
      <c r="A20" s="3" t="s">
        <v>137</v>
      </c>
      <c r="B20" s="3" t="s">
        <v>113</v>
      </c>
      <c r="C20" s="3" t="s">
        <v>133</v>
      </c>
      <c r="D20" s="3" t="str">
        <f t="shared" si="1"/>
        <v>부산</v>
      </c>
      <c r="F20" s="3" t="s">
        <v>99</v>
      </c>
      <c r="G20" s="3" t="s">
        <v>160</v>
      </c>
      <c r="H20" s="3">
        <v>22</v>
      </c>
      <c r="I20" s="5">
        <v>79200</v>
      </c>
    </row>
    <row r="21" spans="1:9">
      <c r="A21" s="3" t="s">
        <v>138</v>
      </c>
      <c r="B21" s="3" t="s">
        <v>113</v>
      </c>
      <c r="C21" s="3" t="s">
        <v>131</v>
      </c>
      <c r="D21" s="3" t="str">
        <f t="shared" si="1"/>
        <v>경기</v>
      </c>
      <c r="F21" s="3" t="s">
        <v>155</v>
      </c>
      <c r="G21" s="3" t="s">
        <v>161</v>
      </c>
      <c r="H21" s="3">
        <v>65</v>
      </c>
      <c r="I21" s="5">
        <v>71500</v>
      </c>
    </row>
    <row r="22" spans="1:9">
      <c r="A22" s="3" t="s">
        <v>139</v>
      </c>
      <c r="B22" s="3" t="s">
        <v>113</v>
      </c>
      <c r="C22" s="3" t="s">
        <v>131</v>
      </c>
      <c r="D22" s="3" t="str">
        <f t="shared" si="1"/>
        <v>경기</v>
      </c>
      <c r="F22" s="3" t="s">
        <v>99</v>
      </c>
      <c r="G22" s="3" t="s">
        <v>162</v>
      </c>
      <c r="H22" s="3">
        <v>24</v>
      </c>
      <c r="I22" s="5">
        <v>84000</v>
      </c>
    </row>
    <row r="23" spans="1:9">
      <c r="A23" s="3" t="s">
        <v>141</v>
      </c>
      <c r="B23" s="3" t="s">
        <v>110</v>
      </c>
      <c r="C23" s="3" t="s">
        <v>131</v>
      </c>
      <c r="D23" s="3" t="str">
        <f t="shared" si="1"/>
        <v>서울</v>
      </c>
      <c r="F23" s="3" t="s">
        <v>99</v>
      </c>
      <c r="G23" s="3" t="s">
        <v>183</v>
      </c>
      <c r="H23" s="3">
        <v>33</v>
      </c>
      <c r="I23" s="5">
        <v>75900</v>
      </c>
    </row>
    <row r="24" spans="1:9">
      <c r="A24" s="3" t="s">
        <v>146</v>
      </c>
      <c r="B24" s="3" t="s">
        <v>110</v>
      </c>
      <c r="C24" s="3" t="s">
        <v>133</v>
      </c>
      <c r="D24" s="3" t="str">
        <f t="shared" si="1"/>
        <v>부산</v>
      </c>
      <c r="F24" s="36" t="s">
        <v>163</v>
      </c>
      <c r="G24" s="38"/>
      <c r="H24" s="37"/>
      <c r="I24" s="5">
        <f>ROUNDDOWN(DAVERAGE(F14:I22,4,F27:F28),-2)</f>
        <v>63300</v>
      </c>
    </row>
    <row r="25" spans="1:9">
      <c r="A25" s="1"/>
      <c r="B25" s="1"/>
      <c r="C25" s="1"/>
      <c r="D25" s="1"/>
      <c r="F25" s="1"/>
      <c r="G25" s="1"/>
      <c r="H25" s="1"/>
      <c r="I25" s="1"/>
    </row>
    <row r="26" spans="1:9">
      <c r="A26" t="s">
        <v>140</v>
      </c>
      <c r="F26" s="1" t="s">
        <v>182</v>
      </c>
      <c r="G26" s="1"/>
      <c r="H26" s="1"/>
      <c r="I26" s="1"/>
    </row>
    <row r="27" spans="1:9">
      <c r="A27" s="3" t="s">
        <v>142</v>
      </c>
      <c r="B27" s="3" t="s">
        <v>143</v>
      </c>
      <c r="C27" s="3" t="s">
        <v>144</v>
      </c>
      <c r="D27" s="3" t="s">
        <v>145</v>
      </c>
      <c r="F27" s="3" t="s">
        <v>96</v>
      </c>
      <c r="G27" s="1"/>
      <c r="H27" s="1"/>
      <c r="I27" s="1"/>
    </row>
    <row r="28" spans="1:9">
      <c r="A28" s="3" t="s">
        <v>129</v>
      </c>
      <c r="B28" s="3" t="s">
        <v>147</v>
      </c>
      <c r="C28" s="3" t="s">
        <v>148</v>
      </c>
      <c r="D28" s="3" t="s">
        <v>149</v>
      </c>
      <c r="F28" s="3" t="s">
        <v>155</v>
      </c>
      <c r="G28" s="1"/>
      <c r="H28" s="1"/>
      <c r="I28" s="1"/>
    </row>
    <row r="30" spans="1:9">
      <c r="A30" s="14" t="s">
        <v>181</v>
      </c>
      <c r="B30" s="12" t="s">
        <v>164</v>
      </c>
    </row>
    <row r="31" spans="1:9">
      <c r="A31" s="15" t="s">
        <v>165</v>
      </c>
      <c r="B31" s="15" t="s">
        <v>166</v>
      </c>
      <c r="C31" s="15" t="s">
        <v>167</v>
      </c>
      <c r="D31" s="15" t="s">
        <v>168</v>
      </c>
      <c r="E31" s="15" t="s">
        <v>169</v>
      </c>
      <c r="F31" s="16" t="s">
        <v>170</v>
      </c>
    </row>
    <row r="32" spans="1:9">
      <c r="A32" s="15" t="s">
        <v>171</v>
      </c>
      <c r="B32" s="15">
        <v>15</v>
      </c>
      <c r="C32" s="15">
        <v>11</v>
      </c>
      <c r="D32" s="15">
        <v>12</v>
      </c>
      <c r="E32" s="15">
        <v>56</v>
      </c>
      <c r="F32" s="15" t="str">
        <f>IFERROR(CHOOSE(_xlfn.RANK.EQ(E32,$E$32:$E$40),"우승","준우승"),"")</f>
        <v/>
      </c>
    </row>
    <row r="33" spans="1:6">
      <c r="A33" s="15" t="s">
        <v>172</v>
      </c>
      <c r="B33" s="15">
        <v>14</v>
      </c>
      <c r="C33" s="15">
        <v>8</v>
      </c>
      <c r="D33" s="15">
        <v>16</v>
      </c>
      <c r="E33" s="15">
        <v>50</v>
      </c>
      <c r="F33" s="15" t="str">
        <f t="shared" ref="F33:F40" si="2">IFERROR(CHOOSE(_xlfn.RANK.EQ(E33,$E$32:$E$40),"우승","준우승"),"")</f>
        <v/>
      </c>
    </row>
    <row r="34" spans="1:6">
      <c r="A34" s="15" t="s">
        <v>173</v>
      </c>
      <c r="B34" s="15">
        <v>9</v>
      </c>
      <c r="C34" s="15">
        <v>10</v>
      </c>
      <c r="D34" s="15">
        <v>19</v>
      </c>
      <c r="E34" s="15">
        <v>37</v>
      </c>
      <c r="F34" s="15" t="str">
        <f t="shared" si="2"/>
        <v/>
      </c>
    </row>
    <row r="35" spans="1:6">
      <c r="A35" s="15" t="s">
        <v>174</v>
      </c>
      <c r="B35" s="15">
        <v>22</v>
      </c>
      <c r="C35" s="15">
        <v>13</v>
      </c>
      <c r="D35" s="15">
        <v>3</v>
      </c>
      <c r="E35" s="15">
        <v>79</v>
      </c>
      <c r="F35" s="15" t="str">
        <f t="shared" si="2"/>
        <v>우승</v>
      </c>
    </row>
    <row r="36" spans="1:6">
      <c r="A36" s="15" t="s">
        <v>175</v>
      </c>
      <c r="B36" s="15">
        <v>16</v>
      </c>
      <c r="C36" s="15">
        <v>7</v>
      </c>
      <c r="D36" s="15">
        <v>15</v>
      </c>
      <c r="E36" s="15">
        <v>55</v>
      </c>
      <c r="F36" s="15" t="str">
        <f t="shared" si="2"/>
        <v/>
      </c>
    </row>
    <row r="37" spans="1:6">
      <c r="A37" s="15" t="s">
        <v>176</v>
      </c>
      <c r="B37" s="15">
        <v>12</v>
      </c>
      <c r="C37" s="15">
        <v>12</v>
      </c>
      <c r="D37" s="15">
        <v>14</v>
      </c>
      <c r="E37" s="15">
        <v>48</v>
      </c>
      <c r="F37" s="15" t="str">
        <f t="shared" si="2"/>
        <v/>
      </c>
    </row>
    <row r="38" spans="1:6">
      <c r="A38" s="15" t="s">
        <v>177</v>
      </c>
      <c r="B38" s="15">
        <v>16</v>
      </c>
      <c r="C38" s="15">
        <v>8</v>
      </c>
      <c r="D38" s="15">
        <v>14</v>
      </c>
      <c r="E38" s="15">
        <v>56</v>
      </c>
      <c r="F38" s="15" t="str">
        <f t="shared" si="2"/>
        <v/>
      </c>
    </row>
    <row r="39" spans="1:6">
      <c r="A39" s="15" t="s">
        <v>178</v>
      </c>
      <c r="B39" s="15">
        <v>22</v>
      </c>
      <c r="C39" s="15">
        <v>10</v>
      </c>
      <c r="D39" s="15">
        <v>6</v>
      </c>
      <c r="E39" s="15">
        <v>76</v>
      </c>
      <c r="F39" s="15" t="str">
        <f t="shared" si="2"/>
        <v>준우승</v>
      </c>
    </row>
    <row r="40" spans="1:6">
      <c r="A40" s="15" t="s">
        <v>179</v>
      </c>
      <c r="B40" s="15">
        <v>13</v>
      </c>
      <c r="C40" s="15">
        <v>16</v>
      </c>
      <c r="D40" s="15">
        <v>9</v>
      </c>
      <c r="E40" s="15">
        <v>55</v>
      </c>
      <c r="F40" s="15" t="str">
        <f t="shared" si="2"/>
        <v/>
      </c>
    </row>
  </sheetData>
  <mergeCells count="2">
    <mergeCell ref="F11:G11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94A9B-8130-4CEA-9F85-22CDCF94B3BD}">
  <dimension ref="A1:G23"/>
  <sheetViews>
    <sheetView topLeftCell="A27" workbookViewId="0">
      <selection activeCell="N33" sqref="N33"/>
    </sheetView>
  </sheetViews>
  <sheetFormatPr defaultRowHeight="16.5" outlineLevelRow="3"/>
  <cols>
    <col min="5" max="5" width="11.125" bestFit="1" customWidth="1"/>
    <col min="6" max="7" width="11" bestFit="1" customWidth="1"/>
  </cols>
  <sheetData>
    <row r="1" spans="1:7" ht="20.25">
      <c r="A1" s="35" t="s">
        <v>52</v>
      </c>
      <c r="B1" s="35"/>
      <c r="C1" s="35"/>
      <c r="D1" s="35"/>
      <c r="E1" s="35"/>
      <c r="F1" s="35"/>
      <c r="G1" s="35"/>
    </row>
    <row r="3" spans="1:7">
      <c r="A3" s="3" t="s">
        <v>53</v>
      </c>
      <c r="B3" s="3" t="s">
        <v>54</v>
      </c>
      <c r="C3" s="3" t="s">
        <v>55</v>
      </c>
      <c r="D3" s="3" t="s">
        <v>56</v>
      </c>
      <c r="E3" s="3" t="s">
        <v>57</v>
      </c>
      <c r="F3" s="3" t="s">
        <v>58</v>
      </c>
      <c r="G3" s="3" t="s">
        <v>59</v>
      </c>
    </row>
    <row r="4" spans="1:7" outlineLevel="3">
      <c r="A4" s="3" t="s">
        <v>60</v>
      </c>
      <c r="B4" s="3" t="s">
        <v>61</v>
      </c>
      <c r="C4" s="3">
        <v>168</v>
      </c>
      <c r="D4" s="3">
        <v>52</v>
      </c>
      <c r="E4" s="3" t="s">
        <v>62</v>
      </c>
      <c r="F4" s="3">
        <v>119</v>
      </c>
      <c r="G4" s="3">
        <v>78</v>
      </c>
    </row>
    <row r="5" spans="1:7" outlineLevel="3">
      <c r="A5" s="3" t="s">
        <v>71</v>
      </c>
      <c r="B5" s="3" t="s">
        <v>61</v>
      </c>
      <c r="C5" s="3">
        <v>161</v>
      </c>
      <c r="D5" s="3">
        <v>54</v>
      </c>
      <c r="E5" s="3" t="s">
        <v>72</v>
      </c>
      <c r="F5" s="3">
        <v>112</v>
      </c>
      <c r="G5" s="3">
        <v>71</v>
      </c>
    </row>
    <row r="6" spans="1:7" outlineLevel="3">
      <c r="A6" s="3" t="s">
        <v>73</v>
      </c>
      <c r="B6" s="3" t="s">
        <v>61</v>
      </c>
      <c r="C6" s="3">
        <v>163</v>
      </c>
      <c r="D6" s="3">
        <v>46</v>
      </c>
      <c r="E6" s="3" t="s">
        <v>74</v>
      </c>
      <c r="F6" s="3">
        <v>117</v>
      </c>
      <c r="G6" s="3">
        <v>69</v>
      </c>
    </row>
    <row r="7" spans="1:7" outlineLevel="3">
      <c r="A7" s="3" t="s">
        <v>80</v>
      </c>
      <c r="B7" s="3" t="s">
        <v>61</v>
      </c>
      <c r="C7" s="3">
        <v>177</v>
      </c>
      <c r="D7" s="3">
        <v>70</v>
      </c>
      <c r="E7" s="3" t="s">
        <v>62</v>
      </c>
      <c r="F7" s="3">
        <v>120</v>
      </c>
      <c r="G7" s="3">
        <v>80</v>
      </c>
    </row>
    <row r="8" spans="1:7" outlineLevel="2">
      <c r="A8" s="3"/>
      <c r="B8" s="32" t="s">
        <v>213</v>
      </c>
      <c r="C8" s="3"/>
      <c r="D8" s="3"/>
      <c r="E8" s="3"/>
      <c r="F8" s="3"/>
      <c r="G8" s="3">
        <f>SUBTOTAL(5,G4:G7)</f>
        <v>69</v>
      </c>
    </row>
    <row r="9" spans="1:7" outlineLevel="1">
      <c r="A9" s="3"/>
      <c r="B9" s="32" t="s">
        <v>210</v>
      </c>
      <c r="C9" s="3"/>
      <c r="D9" s="3"/>
      <c r="E9" s="3"/>
      <c r="F9" s="3">
        <f>SUBTOTAL(4,F4:F7)</f>
        <v>120</v>
      </c>
      <c r="G9" s="3"/>
    </row>
    <row r="10" spans="1:7" outlineLevel="3">
      <c r="A10" s="3" t="s">
        <v>63</v>
      </c>
      <c r="B10" s="3" t="s">
        <v>64</v>
      </c>
      <c r="C10" s="3">
        <v>173</v>
      </c>
      <c r="D10" s="3">
        <v>72</v>
      </c>
      <c r="E10" s="3" t="s">
        <v>65</v>
      </c>
      <c r="F10" s="3">
        <v>120</v>
      </c>
      <c r="G10" s="3">
        <v>77</v>
      </c>
    </row>
    <row r="11" spans="1:7" outlineLevel="3">
      <c r="A11" s="3" t="s">
        <v>75</v>
      </c>
      <c r="B11" s="3" t="s">
        <v>64</v>
      </c>
      <c r="C11" s="3">
        <v>168</v>
      </c>
      <c r="D11" s="3">
        <v>72</v>
      </c>
      <c r="E11" s="3" t="s">
        <v>68</v>
      </c>
      <c r="F11" s="3">
        <v>126</v>
      </c>
      <c r="G11" s="3">
        <v>83</v>
      </c>
    </row>
    <row r="12" spans="1:7" outlineLevel="3">
      <c r="A12" s="3" t="s">
        <v>76</v>
      </c>
      <c r="B12" s="3" t="s">
        <v>64</v>
      </c>
      <c r="C12" s="3">
        <v>160</v>
      </c>
      <c r="D12" s="3">
        <v>56</v>
      </c>
      <c r="E12" s="3" t="s">
        <v>77</v>
      </c>
      <c r="F12" s="3">
        <v>121</v>
      </c>
      <c r="G12" s="3">
        <v>76</v>
      </c>
    </row>
    <row r="13" spans="1:7" outlineLevel="3">
      <c r="A13" s="3" t="s">
        <v>81</v>
      </c>
      <c r="B13" s="3" t="s">
        <v>64</v>
      </c>
      <c r="C13" s="3">
        <v>157</v>
      </c>
      <c r="D13" s="3">
        <v>55</v>
      </c>
      <c r="E13" s="3" t="s">
        <v>82</v>
      </c>
      <c r="F13" s="3">
        <v>118</v>
      </c>
      <c r="G13" s="3">
        <v>77</v>
      </c>
    </row>
    <row r="14" spans="1:7" outlineLevel="2">
      <c r="A14" s="3"/>
      <c r="B14" s="32" t="s">
        <v>214</v>
      </c>
      <c r="C14" s="3"/>
      <c r="D14" s="3"/>
      <c r="E14" s="3"/>
      <c r="F14" s="3"/>
      <c r="G14" s="3">
        <f>SUBTOTAL(5,G10:G13)</f>
        <v>76</v>
      </c>
    </row>
    <row r="15" spans="1:7" outlineLevel="1">
      <c r="A15" s="3"/>
      <c r="B15" s="32" t="s">
        <v>211</v>
      </c>
      <c r="C15" s="3"/>
      <c r="D15" s="3"/>
      <c r="E15" s="3"/>
      <c r="F15" s="3">
        <f>SUBTOTAL(4,F10:F13)</f>
        <v>126</v>
      </c>
      <c r="G15" s="3"/>
    </row>
    <row r="16" spans="1:7" outlineLevel="3">
      <c r="A16" s="3" t="s">
        <v>66</v>
      </c>
      <c r="B16" s="3" t="s">
        <v>67</v>
      </c>
      <c r="C16" s="3">
        <v>183</v>
      </c>
      <c r="D16" s="3">
        <v>70</v>
      </c>
      <c r="E16" s="3" t="s">
        <v>68</v>
      </c>
      <c r="F16" s="3">
        <v>123</v>
      </c>
      <c r="G16" s="3">
        <v>82</v>
      </c>
    </row>
    <row r="17" spans="1:7" outlineLevel="3">
      <c r="A17" s="3" t="s">
        <v>69</v>
      </c>
      <c r="B17" s="3" t="s">
        <v>67</v>
      </c>
      <c r="C17" s="3">
        <v>181</v>
      </c>
      <c r="D17" s="3">
        <v>96</v>
      </c>
      <c r="E17" s="3" t="s">
        <v>70</v>
      </c>
      <c r="F17" s="3">
        <v>142</v>
      </c>
      <c r="G17" s="3">
        <v>97</v>
      </c>
    </row>
    <row r="18" spans="1:7" outlineLevel="3">
      <c r="A18" s="3" t="s">
        <v>78</v>
      </c>
      <c r="B18" s="3" t="s">
        <v>67</v>
      </c>
      <c r="C18" s="3">
        <v>173</v>
      </c>
      <c r="D18" s="3">
        <v>71</v>
      </c>
      <c r="E18" s="3" t="s">
        <v>79</v>
      </c>
      <c r="F18" s="3">
        <v>124</v>
      </c>
      <c r="G18" s="3">
        <v>82</v>
      </c>
    </row>
    <row r="19" spans="1:7" outlineLevel="3">
      <c r="A19" s="3" t="s">
        <v>83</v>
      </c>
      <c r="B19" s="3" t="s">
        <v>67</v>
      </c>
      <c r="C19" s="3">
        <v>179</v>
      </c>
      <c r="D19" s="3">
        <v>69</v>
      </c>
      <c r="E19" s="3" t="s">
        <v>84</v>
      </c>
      <c r="F19" s="3">
        <v>124</v>
      </c>
      <c r="G19" s="3">
        <v>81</v>
      </c>
    </row>
    <row r="20" spans="1:7" outlineLevel="2">
      <c r="A20" s="1"/>
      <c r="B20" s="33" t="s">
        <v>215</v>
      </c>
      <c r="C20" s="1"/>
      <c r="D20" s="1"/>
      <c r="E20" s="1"/>
      <c r="F20" s="1"/>
      <c r="G20" s="1">
        <f>SUBTOTAL(5,G16:G19)</f>
        <v>81</v>
      </c>
    </row>
    <row r="21" spans="1:7" outlineLevel="1">
      <c r="A21" s="1"/>
      <c r="B21" s="33" t="s">
        <v>212</v>
      </c>
      <c r="C21" s="1"/>
      <c r="D21" s="1"/>
      <c r="E21" s="1"/>
      <c r="F21" s="1">
        <f>SUBTOTAL(4,F16:F19)</f>
        <v>142</v>
      </c>
      <c r="G21" s="1"/>
    </row>
    <row r="22" spans="1:7">
      <c r="A22" s="1"/>
      <c r="B22" s="33" t="s">
        <v>216</v>
      </c>
      <c r="C22" s="1"/>
      <c r="D22" s="1"/>
      <c r="E22" s="1"/>
      <c r="F22" s="1"/>
      <c r="G22" s="1">
        <f>SUBTOTAL(5,G4:G19)</f>
        <v>69</v>
      </c>
    </row>
    <row r="23" spans="1:7">
      <c r="A23" s="1"/>
      <c r="B23" s="33" t="s">
        <v>209</v>
      </c>
      <c r="C23" s="1"/>
      <c r="D23" s="1"/>
      <c r="E23" s="1"/>
      <c r="F23" s="1">
        <f>SUBTOTAL(4,F4:F19)</f>
        <v>142</v>
      </c>
      <c r="G23" s="1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40D82-1DA6-4407-81E0-0ABFCA706605}">
  <dimension ref="A1:I12"/>
  <sheetViews>
    <sheetView topLeftCell="A7" workbookViewId="0">
      <selection activeCell="J16" sqref="J16"/>
    </sheetView>
  </sheetViews>
  <sheetFormatPr defaultRowHeight="16.5"/>
  <cols>
    <col min="1" max="1" width="10.375" bestFit="1" customWidth="1"/>
  </cols>
  <sheetData>
    <row r="1" spans="1:9">
      <c r="A1" s="12" t="s">
        <v>187</v>
      </c>
      <c r="F1" s="12" t="s">
        <v>188</v>
      </c>
    </row>
    <row r="2" spans="1:9">
      <c r="A2" s="3" t="s">
        <v>87</v>
      </c>
      <c r="B2" s="3" t="s">
        <v>189</v>
      </c>
      <c r="C2" s="3" t="s">
        <v>190</v>
      </c>
      <c r="D2" s="3" t="s">
        <v>191</v>
      </c>
      <c r="F2" s="3" t="s">
        <v>87</v>
      </c>
      <c r="G2" s="3" t="s">
        <v>189</v>
      </c>
      <c r="H2" s="3" t="s">
        <v>190</v>
      </c>
      <c r="I2" s="3" t="s">
        <v>191</v>
      </c>
    </row>
    <row r="3" spans="1:9">
      <c r="A3" s="3" t="s">
        <v>192</v>
      </c>
      <c r="B3" s="3">
        <v>28</v>
      </c>
      <c r="C3" s="3">
        <v>19</v>
      </c>
      <c r="D3" s="3">
        <v>25</v>
      </c>
      <c r="F3" s="3" t="s">
        <v>193</v>
      </c>
      <c r="G3" s="3">
        <v>19</v>
      </c>
      <c r="H3" s="3">
        <v>24</v>
      </c>
      <c r="I3" s="3">
        <v>19</v>
      </c>
    </row>
    <row r="4" spans="1:9">
      <c r="A4" s="3" t="s">
        <v>194</v>
      </c>
      <c r="B4" s="3">
        <v>19</v>
      </c>
      <c r="C4" s="3">
        <v>21</v>
      </c>
      <c r="D4" s="3">
        <v>23</v>
      </c>
      <c r="F4" s="3" t="s">
        <v>195</v>
      </c>
      <c r="G4" s="3">
        <v>15</v>
      </c>
      <c r="H4" s="3">
        <v>20</v>
      </c>
      <c r="I4" s="3">
        <v>22</v>
      </c>
    </row>
    <row r="5" spans="1:9">
      <c r="A5" s="3" t="s">
        <v>196</v>
      </c>
      <c r="B5" s="3">
        <v>22</v>
      </c>
      <c r="C5" s="3">
        <v>25</v>
      </c>
      <c r="D5" s="3">
        <v>29</v>
      </c>
      <c r="F5" s="3" t="s">
        <v>197</v>
      </c>
      <c r="G5" s="3">
        <v>21</v>
      </c>
      <c r="H5" s="3">
        <v>18</v>
      </c>
      <c r="I5" s="3">
        <v>24</v>
      </c>
    </row>
    <row r="6" spans="1:9">
      <c r="A6" s="3" t="s">
        <v>198</v>
      </c>
      <c r="B6" s="3">
        <v>31</v>
      </c>
      <c r="C6" s="3">
        <v>23</v>
      </c>
      <c r="D6" s="3">
        <v>30</v>
      </c>
      <c r="F6" s="3" t="s">
        <v>199</v>
      </c>
      <c r="G6" s="3">
        <v>20</v>
      </c>
      <c r="H6" s="3">
        <v>21</v>
      </c>
      <c r="I6" s="3">
        <v>17</v>
      </c>
    </row>
    <row r="7" spans="1:9">
      <c r="A7" s="3" t="s">
        <v>200</v>
      </c>
      <c r="B7" s="3">
        <v>25</v>
      </c>
      <c r="C7" s="3">
        <v>17</v>
      </c>
      <c r="D7" s="3">
        <v>22</v>
      </c>
      <c r="F7" s="3" t="s">
        <v>201</v>
      </c>
      <c r="G7" s="3">
        <v>17</v>
      </c>
      <c r="H7" s="3">
        <v>16</v>
      </c>
      <c r="I7" s="3">
        <v>20</v>
      </c>
    </row>
    <row r="9" spans="1:9">
      <c r="A9" s="12" t="s">
        <v>202</v>
      </c>
    </row>
    <row r="10" spans="1:9">
      <c r="A10" s="3" t="s">
        <v>87</v>
      </c>
      <c r="B10" s="3" t="s">
        <v>189</v>
      </c>
      <c r="C10" s="3" t="s">
        <v>190</v>
      </c>
      <c r="D10" s="3" t="s">
        <v>191</v>
      </c>
      <c r="F10" s="34" t="s">
        <v>219</v>
      </c>
    </row>
    <row r="11" spans="1:9">
      <c r="A11" s="3" t="s">
        <v>217</v>
      </c>
      <c r="B11" s="3">
        <v>25</v>
      </c>
      <c r="C11" s="3">
        <v>21</v>
      </c>
      <c r="D11" s="3">
        <v>25.8</v>
      </c>
      <c r="F11" s="34" t="s">
        <v>220</v>
      </c>
    </row>
    <row r="12" spans="1:9">
      <c r="A12" s="3" t="s">
        <v>218</v>
      </c>
      <c r="B12" s="3">
        <v>18.399999999999999</v>
      </c>
      <c r="C12" s="3">
        <v>19.8</v>
      </c>
      <c r="D12" s="3">
        <v>20.399999999999999</v>
      </c>
    </row>
  </sheetData>
  <dataConsolidate function="average" topLabels="1">
    <dataRefs count="2">
      <dataRef ref="A2:D7" sheet="분석작업-2"/>
      <dataRef ref="F2:I7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9"/>
  <sheetViews>
    <sheetView workbookViewId="0">
      <selection activeCell="I11" sqref="I11"/>
    </sheetView>
  </sheetViews>
  <sheetFormatPr defaultRowHeight="16.5"/>
  <sheetData>
    <row r="1" spans="1:6" ht="20.25">
      <c r="A1" s="35" t="s">
        <v>95</v>
      </c>
      <c r="B1" s="35"/>
      <c r="C1" s="35"/>
      <c r="D1" s="35"/>
      <c r="E1" s="35"/>
      <c r="F1" s="35"/>
    </row>
    <row r="2" spans="1:6" ht="17.100000000000001" customHeight="1">
      <c r="A2" s="9"/>
      <c r="B2" s="9"/>
      <c r="C2" s="9"/>
      <c r="D2" s="9"/>
      <c r="E2" s="9"/>
    </row>
    <row r="3" spans="1:6">
      <c r="A3" s="39" t="s">
        <v>96</v>
      </c>
      <c r="B3" s="39" t="s">
        <v>97</v>
      </c>
      <c r="C3" s="39" t="s">
        <v>184</v>
      </c>
      <c r="D3" s="39" t="s">
        <v>185</v>
      </c>
      <c r="E3" s="39" t="s">
        <v>186</v>
      </c>
      <c r="F3" s="39" t="s">
        <v>91</v>
      </c>
    </row>
    <row r="4" spans="1:6">
      <c r="A4" s="3" t="s">
        <v>98</v>
      </c>
      <c r="B4" s="10">
        <v>2356</v>
      </c>
      <c r="C4" s="10">
        <v>2423</v>
      </c>
      <c r="D4" s="10">
        <v>2150</v>
      </c>
      <c r="E4" s="10">
        <v>2478</v>
      </c>
      <c r="F4" s="10">
        <f>SUM(B4:E4)</f>
        <v>9407</v>
      </c>
    </row>
    <row r="5" spans="1:6">
      <c r="A5" s="3" t="s">
        <v>99</v>
      </c>
      <c r="B5" s="10">
        <v>308</v>
      </c>
      <c r="C5" s="10">
        <v>456</v>
      </c>
      <c r="D5" s="10">
        <v>300</v>
      </c>
      <c r="E5" s="10">
        <v>356</v>
      </c>
      <c r="F5" s="10">
        <f t="shared" ref="F5:F9" si="0">SUM(B5:E5)</f>
        <v>1420</v>
      </c>
    </row>
    <row r="6" spans="1:6">
      <c r="A6" s="3" t="s">
        <v>100</v>
      </c>
      <c r="B6" s="10">
        <v>2205</v>
      </c>
      <c r="C6" s="10">
        <v>2539</v>
      </c>
      <c r="D6" s="10">
        <v>2463</v>
      </c>
      <c r="E6" s="10">
        <v>2872</v>
      </c>
      <c r="F6" s="10">
        <f t="shared" si="0"/>
        <v>10079</v>
      </c>
    </row>
    <row r="7" spans="1:6">
      <c r="A7" s="3" t="s">
        <v>101</v>
      </c>
      <c r="B7" s="10">
        <v>462</v>
      </c>
      <c r="C7" s="10">
        <v>438</v>
      </c>
      <c r="D7" s="10">
        <v>305</v>
      </c>
      <c r="E7" s="10">
        <v>328</v>
      </c>
      <c r="F7" s="10">
        <f t="shared" si="0"/>
        <v>1533</v>
      </c>
    </row>
    <row r="8" spans="1:6">
      <c r="A8" s="3" t="s">
        <v>102</v>
      </c>
      <c r="B8" s="10">
        <v>39</v>
      </c>
      <c r="C8" s="10">
        <v>40</v>
      </c>
      <c r="D8" s="10">
        <v>41</v>
      </c>
      <c r="E8" s="10">
        <v>73</v>
      </c>
      <c r="F8" s="10">
        <f t="shared" si="0"/>
        <v>193</v>
      </c>
    </row>
    <row r="9" spans="1:6">
      <c r="A9" s="3" t="s">
        <v>103</v>
      </c>
      <c r="B9" s="10">
        <v>195</v>
      </c>
      <c r="C9" s="10">
        <v>246</v>
      </c>
      <c r="D9" s="10">
        <v>207</v>
      </c>
      <c r="E9" s="10">
        <v>295</v>
      </c>
      <c r="F9" s="10">
        <f t="shared" si="0"/>
        <v>943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129-4ACA-435C-8A1C-5EB266B9B19A}">
  <dimension ref="A1:N102"/>
  <sheetViews>
    <sheetView tabSelected="1" topLeftCell="G99" workbookViewId="0">
      <selection activeCell="R102" sqref="R102"/>
    </sheetView>
  </sheetViews>
  <sheetFormatPr defaultRowHeight="16.5"/>
  <cols>
    <col min="3" max="3" width="10.375" bestFit="1" customWidth="1"/>
  </cols>
  <sheetData>
    <row r="1" spans="1:5" ht="20.25">
      <c r="A1" s="35" t="s">
        <v>85</v>
      </c>
      <c r="B1" s="35"/>
      <c r="C1" s="35"/>
      <c r="D1" s="35"/>
      <c r="E1" s="35"/>
    </row>
    <row r="2" spans="1:5">
      <c r="E2" s="7" t="s">
        <v>86</v>
      </c>
    </row>
    <row r="3" spans="1:5">
      <c r="A3" s="3" t="s">
        <v>87</v>
      </c>
      <c r="B3" s="3" t="s">
        <v>88</v>
      </c>
      <c r="C3" s="3" t="s">
        <v>89</v>
      </c>
      <c r="D3" s="3" t="s">
        <v>90</v>
      </c>
      <c r="E3" s="3" t="s">
        <v>91</v>
      </c>
    </row>
    <row r="4" spans="1:5">
      <c r="A4" s="3" t="s">
        <v>12</v>
      </c>
      <c r="B4" s="8">
        <v>565</v>
      </c>
      <c r="C4" s="8">
        <v>469</v>
      </c>
      <c r="D4" s="8">
        <v>525</v>
      </c>
      <c r="E4" s="8">
        <f>SUM(B4:D4)</f>
        <v>1559</v>
      </c>
    </row>
    <row r="5" spans="1:5">
      <c r="A5" s="3" t="s">
        <v>20</v>
      </c>
      <c r="B5" s="8">
        <v>426</v>
      </c>
      <c r="C5" s="8">
        <v>354</v>
      </c>
      <c r="D5" s="8">
        <v>396</v>
      </c>
      <c r="E5" s="8">
        <f t="shared" ref="E5:E9" si="0">SUM(B5:D5)</f>
        <v>1176</v>
      </c>
    </row>
    <row r="6" spans="1:5">
      <c r="A6" s="3" t="s">
        <v>92</v>
      </c>
      <c r="B6" s="8">
        <v>513</v>
      </c>
      <c r="C6" s="8">
        <v>426</v>
      </c>
      <c r="D6" s="8">
        <v>477</v>
      </c>
      <c r="E6" s="8">
        <f t="shared" si="0"/>
        <v>1416</v>
      </c>
    </row>
    <row r="7" spans="1:5">
      <c r="A7" s="3" t="s">
        <v>93</v>
      </c>
      <c r="B7" s="8">
        <v>388</v>
      </c>
      <c r="C7" s="8">
        <v>322</v>
      </c>
      <c r="D7" s="8">
        <v>361</v>
      </c>
      <c r="E7" s="8">
        <f t="shared" si="0"/>
        <v>1071</v>
      </c>
    </row>
    <row r="8" spans="1:5">
      <c r="A8" s="3" t="s">
        <v>94</v>
      </c>
      <c r="B8" s="8">
        <v>684</v>
      </c>
      <c r="C8" s="8">
        <v>568</v>
      </c>
      <c r="D8" s="8">
        <v>636</v>
      </c>
      <c r="E8" s="8">
        <f t="shared" si="0"/>
        <v>1888</v>
      </c>
    </row>
    <row r="9" spans="1:5">
      <c r="A9" s="3" t="s">
        <v>9</v>
      </c>
      <c r="B9" s="8">
        <v>593</v>
      </c>
      <c r="C9" s="8">
        <v>492</v>
      </c>
      <c r="D9" s="8">
        <v>551</v>
      </c>
      <c r="E9" s="8">
        <f t="shared" si="0"/>
        <v>1636</v>
      </c>
    </row>
    <row r="32" spans="13:13">
      <c r="M32">
        <v>1</v>
      </c>
    </row>
    <row r="58" spans="13:13">
      <c r="M58">
        <v>2</v>
      </c>
    </row>
    <row r="87" spans="13:14">
      <c r="M87">
        <v>3</v>
      </c>
      <c r="N87" t="s">
        <v>221</v>
      </c>
    </row>
    <row r="88" spans="13:14">
      <c r="N88" t="s">
        <v>222</v>
      </c>
    </row>
    <row r="89" spans="13:14">
      <c r="N89" t="s">
        <v>223</v>
      </c>
    </row>
    <row r="90" spans="13:14">
      <c r="N90" s="12" t="s">
        <v>224</v>
      </c>
    </row>
    <row r="93" spans="13:14">
      <c r="M93">
        <v>4</v>
      </c>
      <c r="N93" t="s">
        <v>225</v>
      </c>
    </row>
    <row r="94" spans="13:14">
      <c r="N94" t="s">
        <v>226</v>
      </c>
    </row>
    <row r="95" spans="13:14">
      <c r="N95" t="s">
        <v>227</v>
      </c>
    </row>
    <row r="97" spans="13:14">
      <c r="N97" s="40" t="s">
        <v>228</v>
      </c>
    </row>
    <row r="98" spans="13:14">
      <c r="N98" s="41" t="s">
        <v>229</v>
      </c>
    </row>
    <row r="99" spans="13:14">
      <c r="N99" s="41" t="s">
        <v>230</v>
      </c>
    </row>
    <row r="102" spans="13:14">
      <c r="M102">
        <v>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이사비용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2026-07-27T08:17:07Z</dcterms:modified>
</cp:coreProperties>
</file>