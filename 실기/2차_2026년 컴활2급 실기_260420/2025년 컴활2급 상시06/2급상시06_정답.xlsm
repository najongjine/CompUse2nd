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2_메일링용\2025년 컴활2급 상시06\"/>
    </mc:Choice>
  </mc:AlternateContent>
  <xr:revisionPtr revIDLastSave="0" documentId="13_ncr:1_{C9C0D0B8-ECF4-4084-9528-08462F150D23}" xr6:coauthVersionLast="47" xr6:coauthVersionMax="47" xr10:uidLastSave="{00000000-0000-0000-0000-000000000000}"/>
  <bookViews>
    <workbookView xWindow="-32500" yWindow="2890" windowWidth="22430" windowHeight="17480" xr2:uid="{454C2710-479D-43CF-B081-445713A883DF}"/>
  </bookViews>
  <sheets>
    <sheet name="기본작업-1" sheetId="10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8" r:id="rId7"/>
    <sheet name="차트작업" sheetId="7" r:id="rId8"/>
  </sheets>
  <definedNames>
    <definedName name="_xlnm._FilterDatabase" localSheetId="2" hidden="1">'기본작업-3'!$A$3:$E$17</definedName>
    <definedName name="_xlnm.Criteria" localSheetId="2">'기본작업-3'!$A$20:$B$22</definedName>
    <definedName name="_xlnm.Extract" localSheetId="2">'기본작업-3'!$A$25:$C$25</definedName>
    <definedName name="쪽수">'기본작업-2'!$C$4:$C$13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4" l="1"/>
  <c r="F34" i="4"/>
  <c r="F35" i="4"/>
  <c r="F36" i="4"/>
  <c r="E36" i="4"/>
  <c r="E35" i="4"/>
  <c r="E34" i="4"/>
  <c r="E33" i="4"/>
  <c r="F33" i="4" s="1"/>
  <c r="E32" i="4"/>
  <c r="F32" i="4" s="1"/>
  <c r="E31" i="4"/>
  <c r="F31" i="4" s="1"/>
  <c r="E30" i="4"/>
  <c r="F30" i="4" s="1"/>
  <c r="E29" i="4"/>
  <c r="F29" i="4" s="1"/>
  <c r="E28" i="4"/>
  <c r="F28" i="4" s="1"/>
  <c r="K24" i="4" l="1"/>
  <c r="K23" i="4"/>
  <c r="K22" i="4"/>
  <c r="K21" i="4"/>
  <c r="K20" i="4"/>
  <c r="K19" i="4"/>
  <c r="K18" i="4"/>
  <c r="K17" i="4"/>
  <c r="K16" i="4"/>
  <c r="K15" i="4"/>
  <c r="C24" i="4" l="1"/>
  <c r="I11" i="4" l="1"/>
  <c r="I10" i="4"/>
  <c r="I9" i="4"/>
  <c r="I8" i="4"/>
  <c r="I7" i="4"/>
  <c r="I6" i="4"/>
  <c r="I5" i="4"/>
  <c r="I4" i="4"/>
  <c r="I3" i="4"/>
  <c r="D11" i="4"/>
  <c r="D10" i="4"/>
  <c r="D9" i="4"/>
  <c r="D8" i="4"/>
  <c r="D7" i="4"/>
  <c r="D6" i="4"/>
  <c r="D5" i="4"/>
  <c r="D4" i="4"/>
  <c r="E5" i="8" l="1"/>
  <c r="E6" i="8"/>
  <c r="E7" i="8"/>
  <c r="E8" i="8"/>
  <c r="E9" i="8"/>
  <c r="E10" i="8"/>
  <c r="E11" i="8"/>
  <c r="E4" i="8"/>
</calcChain>
</file>

<file path=xl/sharedStrings.xml><?xml version="1.0" encoding="utf-8"?>
<sst xmlns="http://schemas.openxmlformats.org/spreadsheetml/2006/main" count="353" uniqueCount="256">
  <si>
    <t>상공문고 도서 입고 현황</t>
  </si>
  <si>
    <t>저자</t>
  </si>
  <si>
    <t>쪽수</t>
  </si>
  <si>
    <t>출판년도</t>
  </si>
  <si>
    <t>입고일</t>
  </si>
  <si>
    <t>총지급액</t>
  </si>
  <si>
    <t>소비자의 생각</t>
  </si>
  <si>
    <t>김정준</t>
  </si>
  <si>
    <t>2020년</t>
  </si>
  <si>
    <t>불편한 도서관</t>
  </si>
  <si>
    <t>최민정</t>
  </si>
  <si>
    <t>2016년</t>
  </si>
  <si>
    <t>개구리 식당</t>
  </si>
  <si>
    <t>배성진</t>
  </si>
  <si>
    <t>2019년</t>
  </si>
  <si>
    <t>마지막 수업</t>
  </si>
  <si>
    <t>장애라</t>
  </si>
  <si>
    <t>2021년</t>
  </si>
  <si>
    <t>부자의 심리학</t>
  </si>
  <si>
    <t>신석영</t>
  </si>
  <si>
    <t>돈 차갑게 다루어라</t>
  </si>
  <si>
    <t>유영조</t>
  </si>
  <si>
    <t>2018년</t>
  </si>
  <si>
    <t>월가의 그릇</t>
  </si>
  <si>
    <t>구주와</t>
  </si>
  <si>
    <t>2022년</t>
  </si>
  <si>
    <t>식사의 중요성</t>
  </si>
  <si>
    <t>윤석남</t>
  </si>
  <si>
    <t>맨발로 걷는 길</t>
  </si>
  <si>
    <t>김태호</t>
  </si>
  <si>
    <t>2017년</t>
  </si>
  <si>
    <t>착한 차별주의자</t>
  </si>
  <si>
    <t>이서희</t>
  </si>
  <si>
    <t>입고량</t>
    <phoneticPr fontId="1" type="noConversion"/>
  </si>
  <si>
    <t>圖書名</t>
    <phoneticPr fontId="1" type="noConversion"/>
  </si>
  <si>
    <t>지역별 도서관 운영현황</t>
  </si>
  <si>
    <t>지역</t>
  </si>
  <si>
    <t>공공도서관</t>
  </si>
  <si>
    <t>전문도서관</t>
  </si>
  <si>
    <t>대학도서관</t>
  </si>
  <si>
    <t>학교도서관</t>
  </si>
  <si>
    <t>경기</t>
  </si>
  <si>
    <t>서울</t>
  </si>
  <si>
    <t>인천</t>
  </si>
  <si>
    <t>충남</t>
  </si>
  <si>
    <t>충북</t>
  </si>
  <si>
    <t>경남</t>
  </si>
  <si>
    <t>경북</t>
  </si>
  <si>
    <t>전남</t>
  </si>
  <si>
    <t>전북</t>
  </si>
  <si>
    <t>강원</t>
  </si>
  <si>
    <t>부산</t>
  </si>
  <si>
    <t>대구</t>
  </si>
  <si>
    <t>울산</t>
  </si>
  <si>
    <t>제주</t>
  </si>
  <si>
    <t>전문도서관</t>
    <phoneticPr fontId="1" type="noConversion"/>
  </si>
  <si>
    <t>&gt;=100</t>
    <phoneticPr fontId="1" type="noConversion"/>
  </si>
  <si>
    <t>학교도서관</t>
    <phoneticPr fontId="1" type="noConversion"/>
  </si>
  <si>
    <t>&lt;=300</t>
    <phoneticPr fontId="1" type="noConversion"/>
  </si>
  <si>
    <t>지역</t>
    <phoneticPr fontId="1" type="noConversion"/>
  </si>
  <si>
    <t>뮤직스쿨</t>
  </si>
  <si>
    <t>시크릿뮤지션</t>
  </si>
  <si>
    <t>AT8225</t>
  </si>
  <si>
    <t>원소극장</t>
  </si>
  <si>
    <t>친구들</t>
  </si>
  <si>
    <t>BG4018</t>
  </si>
  <si>
    <t>드림플러스</t>
  </si>
  <si>
    <t>행복한연예</t>
  </si>
  <si>
    <t>SN9627</t>
  </si>
  <si>
    <t>하나아트센터</t>
  </si>
  <si>
    <t>바람과함께여행</t>
  </si>
  <si>
    <t>RV74563</t>
  </si>
  <si>
    <t>CK씨어터</t>
  </si>
  <si>
    <t>상상마술쇼</t>
  </si>
  <si>
    <t>KH0541</t>
  </si>
  <si>
    <t>예매량</t>
  </si>
  <si>
    <t>관람료</t>
  </si>
  <si>
    <t>좌석수</t>
  </si>
  <si>
    <t>공연장</t>
  </si>
  <si>
    <t>공연명</t>
  </si>
  <si>
    <t>공연코드</t>
  </si>
  <si>
    <t>상공아트홀 공연 예매 현황</t>
    <phoneticPr fontId="1" type="noConversion"/>
  </si>
  <si>
    <t>[표1]</t>
  </si>
  <si>
    <t>경기지역 판매량</t>
  </si>
  <si>
    <t>[표2]</t>
  </si>
  <si>
    <t>인천지역 판매량</t>
  </si>
  <si>
    <t>제품</t>
  </si>
  <si>
    <t>1분기</t>
  </si>
  <si>
    <t>2분기</t>
  </si>
  <si>
    <t>3분기</t>
  </si>
  <si>
    <t>4분기</t>
  </si>
  <si>
    <t>침대</t>
  </si>
  <si>
    <t>소파</t>
  </si>
  <si>
    <t>식탁</t>
  </si>
  <si>
    <t>책상</t>
  </si>
  <si>
    <t>[표3]</t>
  </si>
  <si>
    <t>서울지역 판매량</t>
  </si>
  <si>
    <t>[표4]</t>
  </si>
  <si>
    <t>수도권 판매량 합계</t>
  </si>
  <si>
    <t>상공스포츠 회원 명단</t>
  </si>
  <si>
    <t>종목</t>
  </si>
  <si>
    <t>성명</t>
  </si>
  <si>
    <t>성별</t>
  </si>
  <si>
    <t>나이</t>
  </si>
  <si>
    <t>가입년도</t>
  </si>
  <si>
    <t>구분</t>
  </si>
  <si>
    <t>수영</t>
  </si>
  <si>
    <t>강다은</t>
  </si>
  <si>
    <t>여</t>
  </si>
  <si>
    <t>정회원</t>
  </si>
  <si>
    <t>헬스</t>
  </si>
  <si>
    <t>양준석</t>
  </si>
  <si>
    <t>남</t>
  </si>
  <si>
    <t>준회원</t>
  </si>
  <si>
    <t>골프</t>
  </si>
  <si>
    <t>임정민</t>
  </si>
  <si>
    <t>테니스</t>
  </si>
  <si>
    <t>안수혜</t>
  </si>
  <si>
    <t>송채호</t>
  </si>
  <si>
    <t>최소율</t>
  </si>
  <si>
    <t>홍재일</t>
  </si>
  <si>
    <t>권종헌</t>
  </si>
  <si>
    <t>강두환</t>
  </si>
  <si>
    <t>임영아</t>
  </si>
  <si>
    <t>김한순</t>
  </si>
  <si>
    <t>최성완</t>
  </si>
  <si>
    <t>김경아</t>
  </si>
  <si>
    <t>유해리</t>
  </si>
  <si>
    <t>상공김치 판매 현황</t>
  </si>
  <si>
    <t>상품명</t>
  </si>
  <si>
    <t>단위</t>
  </si>
  <si>
    <t>판매가격</t>
  </si>
  <si>
    <t>판매수량</t>
  </si>
  <si>
    <t>판매총액</t>
  </si>
  <si>
    <t>포기김치</t>
  </si>
  <si>
    <t>5kg</t>
  </si>
  <si>
    <t>깍두기</t>
  </si>
  <si>
    <t>3kg</t>
  </si>
  <si>
    <t>갓김치</t>
  </si>
  <si>
    <t>나박김치</t>
  </si>
  <si>
    <t>3.6kg</t>
  </si>
  <si>
    <t>총각김치</t>
  </si>
  <si>
    <t>열무김치</t>
  </si>
  <si>
    <t>2.5kg</t>
  </si>
  <si>
    <t>백김치</t>
  </si>
  <si>
    <t>물김치</t>
  </si>
  <si>
    <t>품목별 매입/사용 현황</t>
  </si>
  <si>
    <t>품목</t>
  </si>
  <si>
    <t>단가</t>
  </si>
  <si>
    <t>매입량</t>
  </si>
  <si>
    <t>사용량</t>
  </si>
  <si>
    <t>재고량</t>
  </si>
  <si>
    <t>샴푸</t>
  </si>
  <si>
    <t>염색약</t>
  </si>
  <si>
    <t>트리트먼트</t>
  </si>
  <si>
    <t>에센스</t>
  </si>
  <si>
    <t>파마약</t>
  </si>
  <si>
    <t>중화제</t>
  </si>
  <si>
    <t>합계</t>
  </si>
  <si>
    <t>사원관리</t>
  </si>
  <si>
    <t>사원번호</t>
  </si>
  <si>
    <t>사원명</t>
  </si>
  <si>
    <t>부서명</t>
  </si>
  <si>
    <t>A-1529</t>
  </si>
  <si>
    <t>김준용</t>
  </si>
  <si>
    <t>기획부</t>
  </si>
  <si>
    <t>B-6011</t>
  </si>
  <si>
    <t>이경실</t>
  </si>
  <si>
    <t>A-2768</t>
  </si>
  <si>
    <t>허안주</t>
  </si>
  <si>
    <t>A-0644</t>
  </si>
  <si>
    <t>이동준</t>
  </si>
  <si>
    <t>영업부</t>
  </si>
  <si>
    <t>B-9537</t>
  </si>
  <si>
    <t>고강민</t>
  </si>
  <si>
    <t>B-2436</t>
  </si>
  <si>
    <t>김민경</t>
  </si>
  <si>
    <t>A-8167</t>
  </si>
  <si>
    <t>한상현</t>
  </si>
  <si>
    <t>관리부</t>
  </si>
  <si>
    <t>A-3551</t>
  </si>
  <si>
    <t>김단희</t>
  </si>
  <si>
    <t>B-0472</t>
  </si>
  <si>
    <t>이동엽</t>
  </si>
  <si>
    <t>도서 대여 현황</t>
  </si>
  <si>
    <t>도서코드</t>
  </si>
  <si>
    <t>대출일자</t>
  </si>
  <si>
    <t>대출기간</t>
  </si>
  <si>
    <t>G10351</t>
  </si>
  <si>
    <t>P82509</t>
  </si>
  <si>
    <t>E52043</t>
  </si>
  <si>
    <t>G35614</t>
  </si>
  <si>
    <t>G74952</t>
  </si>
  <si>
    <t>P25078</t>
  </si>
  <si>
    <t>E29677</t>
  </si>
  <si>
    <t>P46611</t>
  </si>
  <si>
    <t>P30967</t>
  </si>
  <si>
    <t>[표4]</t>
    <phoneticPr fontId="1" type="noConversion"/>
  </si>
  <si>
    <t>사원별 판매실적</t>
    <phoneticPr fontId="1" type="noConversion"/>
  </si>
  <si>
    <t>사원명</t>
    <phoneticPr fontId="1" type="noConversion"/>
  </si>
  <si>
    <t>부서</t>
    <phoneticPr fontId="1" type="noConversion"/>
  </si>
  <si>
    <t>실적</t>
    <phoneticPr fontId="1" type="noConversion"/>
  </si>
  <si>
    <t>김가은</t>
  </si>
  <si>
    <t>영업1팀</t>
    <phoneticPr fontId="1" type="noConversion"/>
  </si>
  <si>
    <t>윤주헌</t>
  </si>
  <si>
    <t>영업2팀</t>
    <phoneticPr fontId="1" type="noConversion"/>
  </si>
  <si>
    <t>한원우</t>
  </si>
  <si>
    <t>한미진</t>
    <phoneticPr fontId="1" type="noConversion"/>
  </si>
  <si>
    <t>이은경</t>
    <phoneticPr fontId="1" type="noConversion"/>
  </si>
  <si>
    <t>정상혁</t>
  </si>
  <si>
    <t>노경호</t>
    <phoneticPr fontId="1" type="noConversion"/>
  </si>
  <si>
    <t>윤정희</t>
    <phoneticPr fontId="1" type="noConversion"/>
  </si>
  <si>
    <t>&lt;조건&gt;</t>
    <phoneticPr fontId="1" type="noConversion"/>
  </si>
  <si>
    <t>강소정</t>
    <phoneticPr fontId="1" type="noConversion"/>
  </si>
  <si>
    <t>최대실적평균</t>
    <phoneticPr fontId="1" type="noConversion"/>
  </si>
  <si>
    <t>[표2]</t>
    <phoneticPr fontId="1" type="noConversion"/>
  </si>
  <si>
    <t>[표3]</t>
    <phoneticPr fontId="1" type="noConversion"/>
  </si>
  <si>
    <t>1학기 성적표</t>
    <phoneticPr fontId="1" type="noConversion"/>
  </si>
  <si>
    <t>이름</t>
    <phoneticPr fontId="1" type="noConversion"/>
  </si>
  <si>
    <t>과학기술</t>
    <phoneticPr fontId="1" type="noConversion"/>
  </si>
  <si>
    <t>문화예술</t>
    <phoneticPr fontId="1" type="noConversion"/>
  </si>
  <si>
    <t>역사철학</t>
    <phoneticPr fontId="1" type="noConversion"/>
  </si>
  <si>
    <t>학점</t>
    <phoneticPr fontId="1" type="noConversion"/>
  </si>
  <si>
    <t>김두완</t>
    <phoneticPr fontId="1" type="noConversion"/>
  </si>
  <si>
    <t>박영재</t>
  </si>
  <si>
    <t>이지환</t>
    <phoneticPr fontId="1" type="noConversion"/>
  </si>
  <si>
    <t>전서혜</t>
    <phoneticPr fontId="1" type="noConversion"/>
  </si>
  <si>
    <t>유가온</t>
    <phoneticPr fontId="1" type="noConversion"/>
  </si>
  <si>
    <t>권도현</t>
  </si>
  <si>
    <t>배재현</t>
  </si>
  <si>
    <t>김영택</t>
    <phoneticPr fontId="1" type="noConversion"/>
  </si>
  <si>
    <t>권애린</t>
    <phoneticPr fontId="1" type="noConversion"/>
  </si>
  <si>
    <t>조종연</t>
    <phoneticPr fontId="1" type="noConversion"/>
  </si>
  <si>
    <t>사원평가표</t>
    <phoneticPr fontId="1" type="noConversion"/>
  </si>
  <si>
    <t>근태</t>
    <phoneticPr fontId="1" type="noConversion"/>
  </si>
  <si>
    <t>시험</t>
    <phoneticPr fontId="1" type="noConversion"/>
  </si>
  <si>
    <t>총점</t>
    <phoneticPr fontId="1" type="noConversion"/>
  </si>
  <si>
    <t>평가</t>
    <phoneticPr fontId="1" type="noConversion"/>
  </si>
  <si>
    <t>최소희</t>
  </si>
  <si>
    <t>조채아</t>
  </si>
  <si>
    <t>고아지</t>
  </si>
  <si>
    <t>손호준</t>
    <phoneticPr fontId="1" type="noConversion"/>
  </si>
  <si>
    <t>허은우</t>
  </si>
  <si>
    <t>황지성</t>
    <phoneticPr fontId="1" type="noConversion"/>
  </si>
  <si>
    <t>송도원</t>
  </si>
  <si>
    <t>양주희</t>
    <phoneticPr fontId="1" type="noConversion"/>
  </si>
  <si>
    <t>김성한</t>
    <phoneticPr fontId="1" type="noConversion"/>
  </si>
  <si>
    <t>&lt;평가기준표&gt;</t>
    <phoneticPr fontId="1" type="noConversion"/>
  </si>
  <si>
    <t>순위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</si>
  <si>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</si>
  <si>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</si>
  <si>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</si>
  <si>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</si>
  <si>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[표5]</t>
    <phoneticPr fontId="1" type="noConversion"/>
  </si>
  <si>
    <t>소속</t>
    <phoneticPr fontId="1" type="noConversion"/>
  </si>
  <si>
    <t>반납일자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</si>
</sst>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&quot;₩&quot;#,##0_);[Red]\(&quot;₩&quot;#,##0\)"/>
    <numFmt numFmtId="177" formatCode="m\/d\(aaa\)"/>
    <numFmt numFmtId="178" formatCode="#,##0_ 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 val="double"/>
      <sz val="18"/>
      <color theme="1"/>
      <name val="HY견고딕"/>
      <family val="1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</font>
    <font>
      <b/>
      <sz val="11"/>
      <color indexed="8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1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0" fontId="0" fillId="0" borderId="3" xfId="0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41" fontId="0" fillId="0" borderId="3" xfId="1" applyFont="1" applyBorder="1">
      <alignment vertical="center"/>
    </xf>
    <xf numFmtId="176" fontId="0" fillId="0" borderId="3" xfId="0" applyNumberFormat="1" applyBorder="1">
      <alignment vertical="center"/>
    </xf>
    <xf numFmtId="0" fontId="3" fillId="2" borderId="2" xfId="2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8" fontId="0" fillId="0" borderId="1" xfId="0" applyNumberFormat="1" applyBorder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7" fillId="0" borderId="0" xfId="3" applyFont="1">
      <alignment vertical="center"/>
    </xf>
    <xf numFmtId="0" fontId="11" fillId="0" borderId="0" xfId="3" applyFont="1">
      <alignment vertical="center"/>
    </xf>
    <xf numFmtId="178" fontId="0" fillId="0" borderId="1" xfId="1" applyNumberFormat="1" applyFont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</cellXfs>
  <cellStyles count="4">
    <cellStyle name="강조색2" xfId="2" builtinId="33"/>
    <cellStyle name="쉼표 [0]" xfId="1" builtinId="6"/>
    <cellStyle name="표준" xfId="0" builtinId="0"/>
    <cellStyle name="표준 2 2" xfId="3" xr:uid="{F0E0243C-41FF-4F1C-8607-DA65DFEDB3A0}"/>
  </cellStyles>
  <dxfs count="1">
    <dxf>
      <fill>
        <patternFill patternType="solid">
          <fgColor rgb="FFC6E0B4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품목별 매입/사용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차트작업!$C$3</c:f>
              <c:strCache>
                <c:ptCount val="1"/>
                <c:pt idx="0">
                  <c:v>매입량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</c:strCache>
            </c:strRef>
          </c:cat>
          <c:val>
            <c:numRef>
              <c:f>차트작업!$C$4:$C$9</c:f>
              <c:numCache>
                <c:formatCode>#,##0_ </c:formatCode>
                <c:ptCount val="6"/>
                <c:pt idx="0">
                  <c:v>120</c:v>
                </c:pt>
                <c:pt idx="1">
                  <c:v>150</c:v>
                </c:pt>
                <c:pt idx="2">
                  <c:v>100</c:v>
                </c:pt>
                <c:pt idx="3">
                  <c:v>80</c:v>
                </c:pt>
                <c:pt idx="4">
                  <c:v>220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C0-4B5C-83F8-2FF3E2B56484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사용량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112</c:v>
                </c:pt>
                <c:pt idx="1">
                  <c:v>128</c:v>
                </c:pt>
                <c:pt idx="2">
                  <c:v>79</c:v>
                </c:pt>
                <c:pt idx="3">
                  <c:v>61</c:v>
                </c:pt>
                <c:pt idx="4">
                  <c:v>208</c:v>
                </c:pt>
                <c:pt idx="5">
                  <c:v>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C0-4B5C-83F8-2FF3E2B56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30"/>
        <c:axId val="879059679"/>
        <c:axId val="879051775"/>
      </c:barChart>
      <c:lineChart>
        <c:grouping val="standar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단가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차트작업!$A$4:$A$9</c:f>
              <c:strCache>
                <c:ptCount val="6"/>
                <c:pt idx="0">
                  <c:v>샴푸</c:v>
                </c:pt>
                <c:pt idx="1">
                  <c:v>염색약</c:v>
                </c:pt>
                <c:pt idx="2">
                  <c:v>트리트먼트</c:v>
                </c:pt>
                <c:pt idx="3">
                  <c:v>에센스</c:v>
                </c:pt>
                <c:pt idx="4">
                  <c:v>파마약</c:v>
                </c:pt>
                <c:pt idx="5">
                  <c:v>중화제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6800</c:v>
                </c:pt>
                <c:pt idx="1">
                  <c:v>5750</c:v>
                </c:pt>
                <c:pt idx="2">
                  <c:v>7900</c:v>
                </c:pt>
                <c:pt idx="3">
                  <c:v>8200</c:v>
                </c:pt>
                <c:pt idx="4">
                  <c:v>4900</c:v>
                </c:pt>
                <c:pt idx="5">
                  <c:v>3550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C0-4B5C-83F8-2FF3E2B56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4351295"/>
        <c:axId val="704355871"/>
      </c:lineChart>
      <c:catAx>
        <c:axId val="879059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79051775"/>
        <c:crosses val="autoZero"/>
        <c:auto val="1"/>
        <c:lblAlgn val="ctr"/>
        <c:lblOffset val="100"/>
        <c:noMultiLvlLbl val="0"/>
      </c:catAx>
      <c:valAx>
        <c:axId val="87905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79059679"/>
        <c:crosses val="autoZero"/>
        <c:crossBetween val="between"/>
      </c:valAx>
      <c:valAx>
        <c:axId val="704355871"/>
        <c:scaling>
          <c:orientation val="minMax"/>
        </c:scaling>
        <c:delete val="0"/>
        <c:axPos val="r"/>
        <c:numFmt formatCode="#,##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4351295"/>
        <c:crosses val="max"/>
        <c:crossBetween val="between"/>
      </c:valAx>
      <c:catAx>
        <c:axId val="7043512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4355871"/>
        <c:crosses val="autoZero"/>
        <c:auto val="1"/>
        <c:lblAlgn val="ctr"/>
        <c:lblOffset val="100"/>
        <c:noMultiLvlLbl val="0"/>
      </c:catAx>
      <c:spPr>
        <a:gradFill rotWithShape="1"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2"/>
          </a:solidFill>
          <a:prstDash val="solid"/>
          <a:miter lim="800000"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pct5">
      <a:fgClr>
        <a:schemeClr val="accent2"/>
      </a:fgClr>
      <a:bgClr>
        <a:schemeClr val="bg1"/>
      </a:bgClr>
    </a:patt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7</xdr:col>
      <xdr:colOff>0</xdr:colOff>
      <xdr:row>4</xdr:row>
      <xdr:rowOff>0</xdr:rowOff>
    </xdr:to>
    <xdr:sp macro="[0]!판매총액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222750" y="482600"/>
          <a:ext cx="6604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판매총액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통화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7</xdr:col>
      <xdr:colOff>0</xdr:colOff>
      <xdr:row>27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5A260-FEA2-4213-9E13-EFC67F46DD5D}">
  <dimension ref="A1:F8"/>
  <sheetViews>
    <sheetView tabSelected="1" workbookViewId="0"/>
  </sheetViews>
  <sheetFormatPr defaultRowHeight="17" x14ac:dyDescent="0.45"/>
  <cols>
    <col min="2" max="2" width="14.33203125" bestFit="1" customWidth="1"/>
    <col min="3" max="3" width="12.33203125" bestFit="1" customWidth="1"/>
  </cols>
  <sheetData>
    <row r="1" spans="1:6" x14ac:dyDescent="0.45">
      <c r="A1" t="s">
        <v>81</v>
      </c>
    </row>
    <row r="3" spans="1:6" x14ac:dyDescent="0.45">
      <c r="A3" s="1" t="s">
        <v>80</v>
      </c>
      <c r="B3" s="1" t="s">
        <v>79</v>
      </c>
      <c r="C3" s="1" t="s">
        <v>78</v>
      </c>
      <c r="D3" s="1" t="s">
        <v>77</v>
      </c>
      <c r="E3" s="1" t="s">
        <v>76</v>
      </c>
      <c r="F3" s="1" t="s">
        <v>75</v>
      </c>
    </row>
    <row r="4" spans="1:6" x14ac:dyDescent="0.45">
      <c r="A4" s="1" t="s">
        <v>74</v>
      </c>
      <c r="B4" s="1" t="s">
        <v>73</v>
      </c>
      <c r="C4" s="1" t="s">
        <v>72</v>
      </c>
      <c r="D4" s="1">
        <v>150</v>
      </c>
      <c r="E4" s="2">
        <v>12500</v>
      </c>
      <c r="F4" s="1">
        <v>142</v>
      </c>
    </row>
    <row r="5" spans="1:6" x14ac:dyDescent="0.45">
      <c r="A5" s="1" t="s">
        <v>71</v>
      </c>
      <c r="B5" s="1" t="s">
        <v>70</v>
      </c>
      <c r="C5" s="1" t="s">
        <v>69</v>
      </c>
      <c r="D5" s="1">
        <v>200</v>
      </c>
      <c r="E5" s="2">
        <v>15000</v>
      </c>
      <c r="F5" s="1">
        <v>168</v>
      </c>
    </row>
    <row r="6" spans="1:6" x14ac:dyDescent="0.45">
      <c r="A6" s="1" t="s">
        <v>68</v>
      </c>
      <c r="B6" s="1" t="s">
        <v>67</v>
      </c>
      <c r="C6" s="1" t="s">
        <v>66</v>
      </c>
      <c r="D6" s="1">
        <v>180</v>
      </c>
      <c r="E6" s="2">
        <v>10000</v>
      </c>
      <c r="F6" s="1">
        <v>171</v>
      </c>
    </row>
    <row r="7" spans="1:6" x14ac:dyDescent="0.45">
      <c r="A7" s="1" t="s">
        <v>65</v>
      </c>
      <c r="B7" s="1" t="s">
        <v>64</v>
      </c>
      <c r="C7" s="1" t="s">
        <v>63</v>
      </c>
      <c r="D7" s="1">
        <v>120</v>
      </c>
      <c r="E7" s="2">
        <v>13500</v>
      </c>
      <c r="F7" s="1">
        <v>113</v>
      </c>
    </row>
    <row r="8" spans="1:6" x14ac:dyDescent="0.45">
      <c r="A8" s="1" t="s">
        <v>62</v>
      </c>
      <c r="B8" s="1" t="s">
        <v>61</v>
      </c>
      <c r="C8" s="1" t="s">
        <v>60</v>
      </c>
      <c r="D8" s="1">
        <v>240</v>
      </c>
      <c r="E8" s="2">
        <v>14500</v>
      </c>
      <c r="F8" s="1">
        <v>209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B9EE-9499-4E5A-A18C-47A6AC036800}">
  <dimension ref="A1:G13"/>
  <sheetViews>
    <sheetView workbookViewId="0">
      <selection sqref="A1:G1"/>
    </sheetView>
  </sheetViews>
  <sheetFormatPr defaultRowHeight="17" x14ac:dyDescent="0.45"/>
  <cols>
    <col min="1" max="1" width="17.75" bestFit="1" customWidth="1"/>
    <col min="5" max="5" width="10.75" bestFit="1" customWidth="1"/>
    <col min="7" max="7" width="12.1640625" bestFit="1" customWidth="1"/>
  </cols>
  <sheetData>
    <row r="1" spans="1:7" ht="23" x14ac:dyDescent="0.45">
      <c r="A1" s="20" t="s">
        <v>0</v>
      </c>
      <c r="B1" s="20"/>
      <c r="C1" s="20"/>
      <c r="D1" s="20"/>
      <c r="E1" s="20"/>
      <c r="F1" s="20"/>
      <c r="G1" s="20"/>
    </row>
    <row r="3" spans="1:7" ht="17.5" thickBot="1" x14ac:dyDescent="0.5">
      <c r="A3" s="11" t="s">
        <v>34</v>
      </c>
      <c r="B3" s="11" t="s">
        <v>1</v>
      </c>
      <c r="C3" s="11" t="s">
        <v>2</v>
      </c>
      <c r="D3" s="11" t="s">
        <v>3</v>
      </c>
      <c r="E3" s="11" t="s">
        <v>4</v>
      </c>
      <c r="F3" s="11" t="s">
        <v>33</v>
      </c>
      <c r="G3" s="11" t="s">
        <v>5</v>
      </c>
    </row>
    <row r="4" spans="1:7" ht="17.5" thickTop="1" x14ac:dyDescent="0.45">
      <c r="A4" s="7" t="s">
        <v>6</v>
      </c>
      <c r="B4" s="7" t="s">
        <v>7</v>
      </c>
      <c r="C4" s="7">
        <v>320</v>
      </c>
      <c r="D4" s="7" t="s">
        <v>8</v>
      </c>
      <c r="E4" s="8">
        <v>45388</v>
      </c>
      <c r="F4" s="9">
        <v>1000</v>
      </c>
      <c r="G4" s="10">
        <v>16200000</v>
      </c>
    </row>
    <row r="5" spans="1:7" x14ac:dyDescent="0.45">
      <c r="A5" s="3" t="s">
        <v>9</v>
      </c>
      <c r="B5" s="3" t="s">
        <v>10</v>
      </c>
      <c r="C5" s="3">
        <v>250</v>
      </c>
      <c r="D5" s="3" t="s">
        <v>11</v>
      </c>
      <c r="E5" s="4">
        <v>45388</v>
      </c>
      <c r="F5" s="5">
        <v>500</v>
      </c>
      <c r="G5" s="6">
        <v>7936000</v>
      </c>
    </row>
    <row r="6" spans="1:7" x14ac:dyDescent="0.45">
      <c r="A6" s="3" t="s">
        <v>12</v>
      </c>
      <c r="B6" s="3" t="s">
        <v>13</v>
      </c>
      <c r="C6" s="3">
        <v>300</v>
      </c>
      <c r="D6" s="3" t="s">
        <v>14</v>
      </c>
      <c r="E6" s="4">
        <v>45389</v>
      </c>
      <c r="F6" s="5">
        <v>900</v>
      </c>
      <c r="G6" s="6">
        <v>13446000</v>
      </c>
    </row>
    <row r="7" spans="1:7" x14ac:dyDescent="0.45">
      <c r="A7" s="3" t="s">
        <v>15</v>
      </c>
      <c r="B7" s="3" t="s">
        <v>16</v>
      </c>
      <c r="C7" s="3">
        <v>360</v>
      </c>
      <c r="D7" s="3" t="s">
        <v>17</v>
      </c>
      <c r="E7" s="4">
        <v>45389</v>
      </c>
      <c r="F7" s="5">
        <v>1200</v>
      </c>
      <c r="G7" s="6">
        <v>21384000</v>
      </c>
    </row>
    <row r="8" spans="1:7" x14ac:dyDescent="0.45">
      <c r="A8" s="3" t="s">
        <v>18</v>
      </c>
      <c r="B8" s="3" t="s">
        <v>19</v>
      </c>
      <c r="C8" s="3">
        <v>295</v>
      </c>
      <c r="D8" s="3" t="s">
        <v>8</v>
      </c>
      <c r="E8" s="4">
        <v>45389</v>
      </c>
      <c r="F8" s="5">
        <v>1000</v>
      </c>
      <c r="G8" s="6">
        <v>13120000</v>
      </c>
    </row>
    <row r="9" spans="1:7" x14ac:dyDescent="0.45">
      <c r="A9" s="3" t="s">
        <v>20</v>
      </c>
      <c r="B9" s="3" t="s">
        <v>21</v>
      </c>
      <c r="C9" s="3">
        <v>440</v>
      </c>
      <c r="D9" s="3" t="s">
        <v>22</v>
      </c>
      <c r="E9" s="4">
        <v>45394</v>
      </c>
      <c r="F9" s="5">
        <v>1000</v>
      </c>
      <c r="G9" s="6">
        <v>22500000</v>
      </c>
    </row>
    <row r="10" spans="1:7" x14ac:dyDescent="0.45">
      <c r="A10" s="3" t="s">
        <v>23</v>
      </c>
      <c r="B10" s="3" t="s">
        <v>24</v>
      </c>
      <c r="C10" s="3">
        <v>350</v>
      </c>
      <c r="D10" s="3" t="s">
        <v>25</v>
      </c>
      <c r="E10" s="4">
        <v>45394</v>
      </c>
      <c r="F10" s="5">
        <v>900</v>
      </c>
      <c r="G10" s="6">
        <v>13050000</v>
      </c>
    </row>
    <row r="11" spans="1:7" x14ac:dyDescent="0.45">
      <c r="A11" s="3" t="s">
        <v>26</v>
      </c>
      <c r="B11" s="3" t="s">
        <v>27</v>
      </c>
      <c r="C11" s="3">
        <v>400</v>
      </c>
      <c r="D11" s="3" t="s">
        <v>17</v>
      </c>
      <c r="E11" s="4">
        <v>45396</v>
      </c>
      <c r="F11" s="5">
        <v>800</v>
      </c>
      <c r="G11" s="6">
        <v>21120000</v>
      </c>
    </row>
    <row r="12" spans="1:7" x14ac:dyDescent="0.45">
      <c r="A12" s="3" t="s">
        <v>28</v>
      </c>
      <c r="B12" s="3" t="s">
        <v>29</v>
      </c>
      <c r="C12" s="3">
        <v>330</v>
      </c>
      <c r="D12" s="3" t="s">
        <v>30</v>
      </c>
      <c r="E12" s="4">
        <v>45400</v>
      </c>
      <c r="F12" s="5">
        <v>1200</v>
      </c>
      <c r="G12" s="6">
        <v>17280000</v>
      </c>
    </row>
    <row r="13" spans="1:7" x14ac:dyDescent="0.45">
      <c r="A13" s="3" t="s">
        <v>31</v>
      </c>
      <c r="B13" s="3" t="s">
        <v>32</v>
      </c>
      <c r="C13" s="3">
        <v>420</v>
      </c>
      <c r="D13" s="3" t="s">
        <v>17</v>
      </c>
      <c r="E13" s="4">
        <v>45400</v>
      </c>
      <c r="F13" s="5">
        <v>600</v>
      </c>
      <c r="G13" s="6">
        <v>15900000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EE921-70C5-4DBF-B5F8-C81DB3097C73}">
  <dimension ref="A1:E31"/>
  <sheetViews>
    <sheetView workbookViewId="0">
      <selection sqref="A1:E1"/>
    </sheetView>
  </sheetViews>
  <sheetFormatPr defaultRowHeight="17" x14ac:dyDescent="0.45"/>
  <cols>
    <col min="1" max="5" width="10.58203125" customWidth="1"/>
  </cols>
  <sheetData>
    <row r="1" spans="1:5" ht="21" x14ac:dyDescent="0.45">
      <c r="A1" s="21" t="s">
        <v>35</v>
      </c>
      <c r="B1" s="21"/>
      <c r="C1" s="21"/>
      <c r="D1" s="21"/>
      <c r="E1" s="21"/>
    </row>
    <row r="3" spans="1:5" x14ac:dyDescent="0.45">
      <c r="A3" s="3" t="s">
        <v>36</v>
      </c>
      <c r="B3" s="3" t="s">
        <v>37</v>
      </c>
      <c r="C3" s="3" t="s">
        <v>38</v>
      </c>
      <c r="D3" s="3" t="s">
        <v>39</v>
      </c>
      <c r="E3" s="3" t="s">
        <v>40</v>
      </c>
    </row>
    <row r="4" spans="1:5" x14ac:dyDescent="0.45">
      <c r="A4" s="3" t="s">
        <v>41</v>
      </c>
      <c r="B4" s="3">
        <v>105</v>
      </c>
      <c r="C4" s="3">
        <v>135</v>
      </c>
      <c r="D4" s="3">
        <v>34</v>
      </c>
      <c r="E4" s="3">
        <v>867</v>
      </c>
    </row>
    <row r="5" spans="1:5" x14ac:dyDescent="0.45">
      <c r="A5" s="3" t="s">
        <v>42</v>
      </c>
      <c r="B5" s="3">
        <v>135</v>
      </c>
      <c r="C5" s="3">
        <v>204</v>
      </c>
      <c r="D5" s="3">
        <v>42</v>
      </c>
      <c r="E5" s="12">
        <v>1064</v>
      </c>
    </row>
    <row r="6" spans="1:5" x14ac:dyDescent="0.45">
      <c r="A6" s="3" t="s">
        <v>43</v>
      </c>
      <c r="B6" s="3">
        <v>86</v>
      </c>
      <c r="C6" s="3">
        <v>93</v>
      </c>
      <c r="D6" s="3">
        <v>16</v>
      </c>
      <c r="E6" s="3">
        <v>537</v>
      </c>
    </row>
    <row r="7" spans="1:5" x14ac:dyDescent="0.45">
      <c r="A7" s="3" t="s">
        <v>44</v>
      </c>
      <c r="B7" s="3">
        <v>54</v>
      </c>
      <c r="C7" s="3">
        <v>58</v>
      </c>
      <c r="D7" s="3">
        <v>22</v>
      </c>
      <c r="E7" s="3">
        <v>356</v>
      </c>
    </row>
    <row r="8" spans="1:5" x14ac:dyDescent="0.45">
      <c r="A8" s="3" t="s">
        <v>45</v>
      </c>
      <c r="B8" s="3">
        <v>38</v>
      </c>
      <c r="C8" s="3">
        <v>47</v>
      </c>
      <c r="D8" s="3">
        <v>21</v>
      </c>
      <c r="E8" s="3">
        <v>313</v>
      </c>
    </row>
    <row r="9" spans="1:5" x14ac:dyDescent="0.45">
      <c r="A9" s="3" t="s">
        <v>46</v>
      </c>
      <c r="B9" s="3">
        <v>35</v>
      </c>
      <c r="C9" s="3">
        <v>68</v>
      </c>
      <c r="D9" s="3">
        <v>16</v>
      </c>
      <c r="E9" s="3">
        <v>542</v>
      </c>
    </row>
    <row r="10" spans="1:5" x14ac:dyDescent="0.45">
      <c r="A10" s="3" t="s">
        <v>47</v>
      </c>
      <c r="B10" s="3">
        <v>26</v>
      </c>
      <c r="C10" s="3">
        <v>51</v>
      </c>
      <c r="D10" s="3">
        <v>23</v>
      </c>
      <c r="E10" s="3">
        <v>315</v>
      </c>
    </row>
    <row r="11" spans="1:5" x14ac:dyDescent="0.45">
      <c r="A11" s="3" t="s">
        <v>48</v>
      </c>
      <c r="B11" s="3">
        <v>40</v>
      </c>
      <c r="C11" s="3">
        <v>37</v>
      </c>
      <c r="D11" s="3">
        <v>25</v>
      </c>
      <c r="E11" s="3">
        <v>352</v>
      </c>
    </row>
    <row r="12" spans="1:5" x14ac:dyDescent="0.45">
      <c r="A12" s="3" t="s">
        <v>49</v>
      </c>
      <c r="B12" s="3">
        <v>31</v>
      </c>
      <c r="C12" s="3">
        <v>29</v>
      </c>
      <c r="D12" s="3">
        <v>13</v>
      </c>
      <c r="E12" s="3">
        <v>311</v>
      </c>
    </row>
    <row r="13" spans="1:5" x14ac:dyDescent="0.45">
      <c r="A13" s="3" t="s">
        <v>50</v>
      </c>
      <c r="B13" s="3">
        <v>28</v>
      </c>
      <c r="C13" s="3">
        <v>16</v>
      </c>
      <c r="D13" s="3">
        <v>18</v>
      </c>
      <c r="E13" s="3">
        <v>295</v>
      </c>
    </row>
    <row r="14" spans="1:5" x14ac:dyDescent="0.45">
      <c r="A14" s="3" t="s">
        <v>51</v>
      </c>
      <c r="B14" s="3">
        <v>111</v>
      </c>
      <c r="C14" s="3">
        <v>107</v>
      </c>
      <c r="D14" s="3">
        <v>31</v>
      </c>
      <c r="E14" s="3">
        <v>684</v>
      </c>
    </row>
    <row r="15" spans="1:5" x14ac:dyDescent="0.45">
      <c r="A15" s="3" t="s">
        <v>52</v>
      </c>
      <c r="B15" s="3">
        <v>33</v>
      </c>
      <c r="C15" s="3">
        <v>24</v>
      </c>
      <c r="D15" s="3">
        <v>22</v>
      </c>
      <c r="E15" s="3">
        <v>430</v>
      </c>
    </row>
    <row r="16" spans="1:5" x14ac:dyDescent="0.45">
      <c r="A16" s="3" t="s">
        <v>53</v>
      </c>
      <c r="B16" s="3">
        <v>24</v>
      </c>
      <c r="C16" s="3">
        <v>19</v>
      </c>
      <c r="D16" s="3">
        <v>15</v>
      </c>
      <c r="E16" s="3">
        <v>267</v>
      </c>
    </row>
    <row r="17" spans="1:5" x14ac:dyDescent="0.45">
      <c r="A17" s="3" t="s">
        <v>54</v>
      </c>
      <c r="B17" s="3">
        <v>26</v>
      </c>
      <c r="C17" s="3">
        <v>22</v>
      </c>
      <c r="D17" s="3">
        <v>13</v>
      </c>
      <c r="E17" s="3">
        <v>199</v>
      </c>
    </row>
    <row r="20" spans="1:5" x14ac:dyDescent="0.45">
      <c r="A20" s="1" t="s">
        <v>55</v>
      </c>
      <c r="B20" s="1" t="s">
        <v>57</v>
      </c>
    </row>
    <row r="21" spans="1:5" x14ac:dyDescent="0.45">
      <c r="A21" s="1" t="s">
        <v>56</v>
      </c>
      <c r="B21" s="1"/>
    </row>
    <row r="22" spans="1:5" x14ac:dyDescent="0.45">
      <c r="A22" s="1"/>
      <c r="B22" s="1" t="s">
        <v>58</v>
      </c>
    </row>
    <row r="25" spans="1:5" x14ac:dyDescent="0.45">
      <c r="A25" s="1" t="s">
        <v>59</v>
      </c>
      <c r="B25" s="1" t="s">
        <v>55</v>
      </c>
      <c r="C25" s="1" t="s">
        <v>57</v>
      </c>
      <c r="D25" s="1"/>
      <c r="E25" s="1"/>
    </row>
    <row r="26" spans="1:5" x14ac:dyDescent="0.45">
      <c r="A26" s="3" t="s">
        <v>41</v>
      </c>
      <c r="B26" s="3">
        <v>135</v>
      </c>
      <c r="C26" s="3">
        <v>867</v>
      </c>
    </row>
    <row r="27" spans="1:5" x14ac:dyDescent="0.45">
      <c r="A27" s="3" t="s">
        <v>42</v>
      </c>
      <c r="B27" s="3">
        <v>204</v>
      </c>
      <c r="C27" s="12">
        <v>1064</v>
      </c>
    </row>
    <row r="28" spans="1:5" x14ac:dyDescent="0.45">
      <c r="A28" s="3" t="s">
        <v>50</v>
      </c>
      <c r="B28" s="3">
        <v>16</v>
      </c>
      <c r="C28" s="3">
        <v>295</v>
      </c>
    </row>
    <row r="29" spans="1:5" x14ac:dyDescent="0.45">
      <c r="A29" s="3" t="s">
        <v>51</v>
      </c>
      <c r="B29" s="3">
        <v>107</v>
      </c>
      <c r="C29" s="3">
        <v>684</v>
      </c>
    </row>
    <row r="30" spans="1:5" x14ac:dyDescent="0.45">
      <c r="A30" s="3" t="s">
        <v>53</v>
      </c>
      <c r="B30" s="3">
        <v>19</v>
      </c>
      <c r="C30" s="3">
        <v>267</v>
      </c>
    </row>
    <row r="31" spans="1:5" x14ac:dyDescent="0.45">
      <c r="A31" s="3" t="s">
        <v>54</v>
      </c>
      <c r="B31" s="3">
        <v>22</v>
      </c>
      <c r="C31" s="3">
        <v>199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ABF1-A47E-4415-BC4F-3DB907FA8361}">
  <dimension ref="A1:K40"/>
  <sheetViews>
    <sheetView workbookViewId="0"/>
  </sheetViews>
  <sheetFormatPr defaultRowHeight="17" x14ac:dyDescent="0.45"/>
  <cols>
    <col min="3" max="3" width="10.75" bestFit="1" customWidth="1"/>
    <col min="7" max="7" width="10.75" bestFit="1" customWidth="1"/>
  </cols>
  <sheetData>
    <row r="1" spans="1:11" x14ac:dyDescent="0.45">
      <c r="A1" s="13" t="s">
        <v>82</v>
      </c>
      <c r="B1" s="23" t="s">
        <v>159</v>
      </c>
      <c r="F1" s="14" t="s">
        <v>215</v>
      </c>
      <c r="G1" s="23" t="s">
        <v>184</v>
      </c>
    </row>
    <row r="2" spans="1:11" x14ac:dyDescent="0.45">
      <c r="A2" s="3" t="s">
        <v>160</v>
      </c>
      <c r="B2" s="3" t="s">
        <v>161</v>
      </c>
      <c r="C2" s="3" t="s">
        <v>162</v>
      </c>
      <c r="D2" s="24" t="s">
        <v>254</v>
      </c>
      <c r="F2" s="3" t="s">
        <v>185</v>
      </c>
      <c r="G2" s="3" t="s">
        <v>186</v>
      </c>
      <c r="H2" s="3" t="s">
        <v>187</v>
      </c>
      <c r="I2" s="24" t="s">
        <v>255</v>
      </c>
    </row>
    <row r="3" spans="1:11" x14ac:dyDescent="0.45">
      <c r="A3" s="3" t="s">
        <v>163</v>
      </c>
      <c r="B3" s="3" t="s">
        <v>164</v>
      </c>
      <c r="C3" s="3" t="s">
        <v>165</v>
      </c>
      <c r="D3" s="3" t="str">
        <f>IF(LEFT(A3,1)="A","본사","지사")</f>
        <v>본사</v>
      </c>
      <c r="F3" s="3" t="s">
        <v>188</v>
      </c>
      <c r="G3" s="25">
        <v>45753</v>
      </c>
      <c r="H3" s="3">
        <v>4</v>
      </c>
      <c r="I3" s="3" t="str">
        <f>MONTH(WORKDAY(G3,H3))&amp;"/"&amp;DAY(WORKDAY(G3,H3))</f>
        <v>4/10</v>
      </c>
    </row>
    <row r="4" spans="1:11" x14ac:dyDescent="0.45">
      <c r="A4" s="3" t="s">
        <v>166</v>
      </c>
      <c r="B4" s="3" t="s">
        <v>167</v>
      </c>
      <c r="C4" s="3" t="s">
        <v>165</v>
      </c>
      <c r="D4" s="3" t="str">
        <f t="shared" ref="D4:D11" si="0">IF(LEFT(A4,1)="A","본사","지사")</f>
        <v>지사</v>
      </c>
      <c r="F4" s="3" t="s">
        <v>189</v>
      </c>
      <c r="G4" s="25">
        <v>45754</v>
      </c>
      <c r="H4" s="3">
        <v>6</v>
      </c>
      <c r="I4" s="3" t="str">
        <f t="shared" ref="I4:I11" si="1">MONTH(WORKDAY(G4,H4))&amp;"/"&amp;DAY(WORKDAY(G4,H4))</f>
        <v>4/15</v>
      </c>
    </row>
    <row r="5" spans="1:11" x14ac:dyDescent="0.45">
      <c r="A5" s="3" t="s">
        <v>168</v>
      </c>
      <c r="B5" s="3" t="s">
        <v>169</v>
      </c>
      <c r="C5" s="3" t="s">
        <v>165</v>
      </c>
      <c r="D5" s="3" t="str">
        <f t="shared" si="0"/>
        <v>본사</v>
      </c>
      <c r="F5" s="3" t="s">
        <v>190</v>
      </c>
      <c r="G5" s="25">
        <v>45754</v>
      </c>
      <c r="H5" s="3">
        <v>4</v>
      </c>
      <c r="I5" s="3" t="str">
        <f t="shared" si="1"/>
        <v>4/11</v>
      </c>
    </row>
    <row r="6" spans="1:11" x14ac:dyDescent="0.45">
      <c r="A6" s="3" t="s">
        <v>170</v>
      </c>
      <c r="B6" s="3" t="s">
        <v>171</v>
      </c>
      <c r="C6" s="3" t="s">
        <v>172</v>
      </c>
      <c r="D6" s="3" t="str">
        <f t="shared" si="0"/>
        <v>본사</v>
      </c>
      <c r="F6" s="3" t="s">
        <v>191</v>
      </c>
      <c r="G6" s="25">
        <v>45759</v>
      </c>
      <c r="H6" s="3">
        <v>7</v>
      </c>
      <c r="I6" s="3" t="str">
        <f t="shared" si="1"/>
        <v>4/22</v>
      </c>
    </row>
    <row r="7" spans="1:11" x14ac:dyDescent="0.45">
      <c r="A7" s="3" t="s">
        <v>173</v>
      </c>
      <c r="B7" s="3" t="s">
        <v>174</v>
      </c>
      <c r="C7" s="3" t="s">
        <v>172</v>
      </c>
      <c r="D7" s="3" t="str">
        <f t="shared" si="0"/>
        <v>지사</v>
      </c>
      <c r="F7" s="3" t="s">
        <v>192</v>
      </c>
      <c r="G7" s="25">
        <v>45759</v>
      </c>
      <c r="H7" s="3">
        <v>5</v>
      </c>
      <c r="I7" s="3" t="str">
        <f t="shared" si="1"/>
        <v>4/18</v>
      </c>
    </row>
    <row r="8" spans="1:11" x14ac:dyDescent="0.45">
      <c r="A8" s="3" t="s">
        <v>175</v>
      </c>
      <c r="B8" s="3" t="s">
        <v>176</v>
      </c>
      <c r="C8" s="3" t="s">
        <v>172</v>
      </c>
      <c r="D8" s="3" t="str">
        <f t="shared" si="0"/>
        <v>지사</v>
      </c>
      <c r="F8" s="3" t="s">
        <v>193</v>
      </c>
      <c r="G8" s="25">
        <v>45764</v>
      </c>
      <c r="H8" s="3">
        <v>5</v>
      </c>
      <c r="I8" s="3" t="str">
        <f t="shared" si="1"/>
        <v>4/24</v>
      </c>
    </row>
    <row r="9" spans="1:11" x14ac:dyDescent="0.45">
      <c r="A9" s="3" t="s">
        <v>177</v>
      </c>
      <c r="B9" s="3" t="s">
        <v>178</v>
      </c>
      <c r="C9" s="3" t="s">
        <v>179</v>
      </c>
      <c r="D9" s="3" t="str">
        <f t="shared" si="0"/>
        <v>본사</v>
      </c>
      <c r="F9" s="3" t="s">
        <v>194</v>
      </c>
      <c r="G9" s="25">
        <v>45765</v>
      </c>
      <c r="H9" s="3">
        <v>4</v>
      </c>
      <c r="I9" s="3" t="str">
        <f t="shared" si="1"/>
        <v>4/24</v>
      </c>
    </row>
    <row r="10" spans="1:11" x14ac:dyDescent="0.45">
      <c r="A10" s="3" t="s">
        <v>180</v>
      </c>
      <c r="B10" s="3" t="s">
        <v>181</v>
      </c>
      <c r="C10" s="3" t="s">
        <v>179</v>
      </c>
      <c r="D10" s="3" t="str">
        <f t="shared" si="0"/>
        <v>본사</v>
      </c>
      <c r="F10" s="3" t="s">
        <v>195</v>
      </c>
      <c r="G10" s="25">
        <v>45765</v>
      </c>
      <c r="H10" s="3">
        <v>7</v>
      </c>
      <c r="I10" s="3" t="str">
        <f t="shared" si="1"/>
        <v>4/29</v>
      </c>
    </row>
    <row r="11" spans="1:11" x14ac:dyDescent="0.45">
      <c r="A11" s="3" t="s">
        <v>182</v>
      </c>
      <c r="B11" s="3" t="s">
        <v>183</v>
      </c>
      <c r="C11" s="3" t="s">
        <v>179</v>
      </c>
      <c r="D11" s="3" t="str">
        <f t="shared" si="0"/>
        <v>지사</v>
      </c>
      <c r="F11" s="3" t="s">
        <v>196</v>
      </c>
      <c r="G11" s="25">
        <v>45766</v>
      </c>
      <c r="H11" s="3">
        <v>3</v>
      </c>
      <c r="I11" s="3" t="str">
        <f t="shared" si="1"/>
        <v>4/23</v>
      </c>
    </row>
    <row r="13" spans="1:11" x14ac:dyDescent="0.45">
      <c r="A13" s="26" t="s">
        <v>216</v>
      </c>
      <c r="B13" s="27" t="s">
        <v>198</v>
      </c>
      <c r="G13" s="13" t="s">
        <v>197</v>
      </c>
      <c r="H13" s="23" t="s">
        <v>217</v>
      </c>
    </row>
    <row r="14" spans="1:11" x14ac:dyDescent="0.45">
      <c r="A14" s="3" t="s">
        <v>199</v>
      </c>
      <c r="B14" s="3" t="s">
        <v>200</v>
      </c>
      <c r="C14" s="3" t="s">
        <v>201</v>
      </c>
      <c r="G14" s="3" t="s">
        <v>218</v>
      </c>
      <c r="H14" s="3" t="s">
        <v>219</v>
      </c>
      <c r="I14" s="3" t="s">
        <v>220</v>
      </c>
      <c r="J14" s="3" t="s">
        <v>221</v>
      </c>
      <c r="K14" s="24" t="s">
        <v>222</v>
      </c>
    </row>
    <row r="15" spans="1:11" x14ac:dyDescent="0.45">
      <c r="A15" s="3" t="s">
        <v>202</v>
      </c>
      <c r="B15" s="3" t="s">
        <v>203</v>
      </c>
      <c r="C15" s="28">
        <v>56986400</v>
      </c>
      <c r="G15" s="3" t="s">
        <v>223</v>
      </c>
      <c r="H15" s="3">
        <v>3.2</v>
      </c>
      <c r="I15" s="3">
        <v>3.5</v>
      </c>
      <c r="J15" s="3">
        <v>3.1</v>
      </c>
      <c r="K15" s="3" t="str">
        <f>CHOOSE(INT(AVERAGE(H15:J15)),"D","C","B","A")</f>
        <v>B</v>
      </c>
    </row>
    <row r="16" spans="1:11" x14ac:dyDescent="0.45">
      <c r="A16" s="3" t="s">
        <v>204</v>
      </c>
      <c r="B16" s="3" t="s">
        <v>205</v>
      </c>
      <c r="C16" s="28">
        <v>35470100</v>
      </c>
      <c r="G16" s="3" t="s">
        <v>224</v>
      </c>
      <c r="H16" s="3">
        <v>1.5</v>
      </c>
      <c r="I16" s="3">
        <v>2.1</v>
      </c>
      <c r="J16" s="3">
        <v>1.8</v>
      </c>
      <c r="K16" s="3" t="str">
        <f t="shared" ref="K16:K24" si="2">CHOOSE(INT(AVERAGE(H16:J16)),"D","C","B","A")</f>
        <v>D</v>
      </c>
    </row>
    <row r="17" spans="1:11" x14ac:dyDescent="0.45">
      <c r="A17" s="3" t="s">
        <v>206</v>
      </c>
      <c r="B17" s="3" t="s">
        <v>203</v>
      </c>
      <c r="C17" s="28">
        <v>68341200</v>
      </c>
      <c r="G17" s="3" t="s">
        <v>225</v>
      </c>
      <c r="H17" s="3">
        <v>4.0999999999999996</v>
      </c>
      <c r="I17" s="3">
        <v>4.2</v>
      </c>
      <c r="J17" s="3">
        <v>4.0999999999999996</v>
      </c>
      <c r="K17" s="3" t="str">
        <f t="shared" si="2"/>
        <v>A</v>
      </c>
    </row>
    <row r="18" spans="1:11" x14ac:dyDescent="0.45">
      <c r="A18" s="3" t="s">
        <v>207</v>
      </c>
      <c r="B18" s="3" t="s">
        <v>205</v>
      </c>
      <c r="C18" s="28">
        <v>50185000</v>
      </c>
      <c r="G18" s="3" t="s">
        <v>226</v>
      </c>
      <c r="H18" s="3">
        <v>2.5</v>
      </c>
      <c r="I18" s="3">
        <v>2.7</v>
      </c>
      <c r="J18" s="3">
        <v>2.8</v>
      </c>
      <c r="K18" s="3" t="str">
        <f t="shared" si="2"/>
        <v>C</v>
      </c>
    </row>
    <row r="19" spans="1:11" x14ac:dyDescent="0.45">
      <c r="A19" s="3" t="s">
        <v>208</v>
      </c>
      <c r="B19" s="3" t="s">
        <v>205</v>
      </c>
      <c r="C19" s="28">
        <v>62734900</v>
      </c>
      <c r="G19" s="3" t="s">
        <v>227</v>
      </c>
      <c r="H19" s="3">
        <v>3.1</v>
      </c>
      <c r="I19" s="3">
        <v>2.9</v>
      </c>
      <c r="J19" s="3">
        <v>3.6</v>
      </c>
      <c r="K19" s="3" t="str">
        <f t="shared" si="2"/>
        <v>B</v>
      </c>
    </row>
    <row r="20" spans="1:11" x14ac:dyDescent="0.45">
      <c r="A20" s="3" t="s">
        <v>209</v>
      </c>
      <c r="B20" s="3" t="s">
        <v>203</v>
      </c>
      <c r="C20" s="28">
        <v>39900000</v>
      </c>
      <c r="G20" s="3" t="s">
        <v>228</v>
      </c>
      <c r="H20" s="3">
        <v>2.8</v>
      </c>
      <c r="I20" s="3">
        <v>2.5</v>
      </c>
      <c r="J20" s="3">
        <v>2.7</v>
      </c>
      <c r="K20" s="3" t="str">
        <f t="shared" si="2"/>
        <v>C</v>
      </c>
    </row>
    <row r="21" spans="1:11" x14ac:dyDescent="0.45">
      <c r="A21" s="3" t="s">
        <v>210</v>
      </c>
      <c r="B21" s="3" t="s">
        <v>203</v>
      </c>
      <c r="C21" s="28">
        <v>46984200</v>
      </c>
      <c r="G21" s="3" t="s">
        <v>229</v>
      </c>
      <c r="H21" s="3">
        <v>0.9</v>
      </c>
      <c r="I21" s="3">
        <v>1.4</v>
      </c>
      <c r="J21" s="3">
        <v>0.8</v>
      </c>
      <c r="K21" s="3" t="str">
        <f t="shared" si="2"/>
        <v>D</v>
      </c>
    </row>
    <row r="22" spans="1:11" x14ac:dyDescent="0.45">
      <c r="A22" s="3" t="s">
        <v>211</v>
      </c>
      <c r="B22" s="3" t="s">
        <v>205</v>
      </c>
      <c r="C22" s="28">
        <v>55121000</v>
      </c>
      <c r="D22" s="29" t="s">
        <v>212</v>
      </c>
      <c r="E22" s="30"/>
      <c r="G22" s="3" t="s">
        <v>230</v>
      </c>
      <c r="H22" s="3">
        <v>3.1</v>
      </c>
      <c r="I22" s="3">
        <v>2.7</v>
      </c>
      <c r="J22" s="3">
        <v>2.4</v>
      </c>
      <c r="K22" s="3" t="str">
        <f t="shared" si="2"/>
        <v>C</v>
      </c>
    </row>
    <row r="23" spans="1:11" x14ac:dyDescent="0.45">
      <c r="A23" s="3" t="s">
        <v>213</v>
      </c>
      <c r="B23" s="3" t="s">
        <v>203</v>
      </c>
      <c r="C23" s="28">
        <v>43764900</v>
      </c>
      <c r="D23" s="3" t="s">
        <v>200</v>
      </c>
      <c r="E23" s="3" t="s">
        <v>200</v>
      </c>
      <c r="G23" s="3" t="s">
        <v>231</v>
      </c>
      <c r="H23" s="3">
        <v>3.6</v>
      </c>
      <c r="I23" s="3">
        <v>3.9</v>
      </c>
      <c r="J23" s="3">
        <v>3.4</v>
      </c>
      <c r="K23" s="3" t="str">
        <f t="shared" si="2"/>
        <v>B</v>
      </c>
    </row>
    <row r="24" spans="1:11" x14ac:dyDescent="0.45">
      <c r="A24" s="31" t="s">
        <v>214</v>
      </c>
      <c r="B24" s="32"/>
      <c r="C24" s="28">
        <f>ROUNDUP(AVERAGE(DMAX(A14:C23,3,D23:D24),DMAX(A14:C23,3,E23:E24)),-3)</f>
        <v>65539000</v>
      </c>
      <c r="D24" s="3" t="s">
        <v>203</v>
      </c>
      <c r="E24" s="3" t="s">
        <v>205</v>
      </c>
      <c r="G24" s="3" t="s">
        <v>232</v>
      </c>
      <c r="H24" s="3">
        <v>3.1</v>
      </c>
      <c r="I24" s="3">
        <v>3.2</v>
      </c>
      <c r="J24" s="3">
        <v>3.5</v>
      </c>
      <c r="K24" s="3" t="str">
        <f t="shared" si="2"/>
        <v>B</v>
      </c>
    </row>
    <row r="26" spans="1:11" x14ac:dyDescent="0.45">
      <c r="A26" s="13" t="s">
        <v>253</v>
      </c>
      <c r="B26" s="23" t="s">
        <v>233</v>
      </c>
    </row>
    <row r="27" spans="1:11" x14ac:dyDescent="0.45">
      <c r="A27" s="3" t="s">
        <v>218</v>
      </c>
      <c r="B27" s="3" t="s">
        <v>234</v>
      </c>
      <c r="C27" s="3" t="s">
        <v>201</v>
      </c>
      <c r="D27" s="3" t="s">
        <v>235</v>
      </c>
      <c r="E27" s="3" t="s">
        <v>236</v>
      </c>
      <c r="F27" s="24" t="s">
        <v>237</v>
      </c>
    </row>
    <row r="28" spans="1:11" x14ac:dyDescent="0.45">
      <c r="A28" s="3" t="s">
        <v>238</v>
      </c>
      <c r="B28" s="3">
        <v>82</v>
      </c>
      <c r="C28" s="3">
        <v>94</v>
      </c>
      <c r="D28" s="3">
        <v>86</v>
      </c>
      <c r="E28" s="3">
        <f>SUM(B28:D28)</f>
        <v>262</v>
      </c>
      <c r="F28" s="3" t="str">
        <f>HLOOKUP(_xlfn.RANK.EQ(E28,$E$28:$E$36),$B$39:$E$40,2)</f>
        <v>B</v>
      </c>
    </row>
    <row r="29" spans="1:11" x14ac:dyDescent="0.45">
      <c r="A29" s="3" t="s">
        <v>239</v>
      </c>
      <c r="B29" s="3">
        <v>69</v>
      </c>
      <c r="C29" s="3">
        <v>88</v>
      </c>
      <c r="D29" s="3">
        <v>62</v>
      </c>
      <c r="E29" s="3">
        <f t="shared" ref="E29:E36" si="3">SUM(B29:D29)</f>
        <v>219</v>
      </c>
      <c r="F29" s="3" t="str">
        <f>HLOOKUP(_xlfn.RANK.EQ(E29,$E$28:$E$36),$B$39:$E$40,2)</f>
        <v>D</v>
      </c>
    </row>
    <row r="30" spans="1:11" x14ac:dyDescent="0.45">
      <c r="A30" s="3" t="s">
        <v>240</v>
      </c>
      <c r="B30" s="3">
        <v>91</v>
      </c>
      <c r="C30" s="3">
        <v>95</v>
      </c>
      <c r="D30" s="3">
        <v>97</v>
      </c>
      <c r="E30" s="3">
        <f t="shared" si="3"/>
        <v>283</v>
      </c>
      <c r="F30" s="3" t="str">
        <f>HLOOKUP(_xlfn.RANK.EQ(E30,$E$28:$E$36),$B$39:$E$40,2)</f>
        <v>A</v>
      </c>
    </row>
    <row r="31" spans="1:11" x14ac:dyDescent="0.45">
      <c r="A31" s="3" t="s">
        <v>241</v>
      </c>
      <c r="B31" s="3">
        <v>80</v>
      </c>
      <c r="C31" s="3">
        <v>70</v>
      </c>
      <c r="D31" s="3">
        <v>79</v>
      </c>
      <c r="E31" s="3">
        <f t="shared" si="3"/>
        <v>229</v>
      </c>
      <c r="F31" s="3" t="str">
        <f>HLOOKUP(_xlfn.RANK.EQ(E31,$E$28:$E$36),$B$39:$E$40,2)</f>
        <v>C</v>
      </c>
    </row>
    <row r="32" spans="1:11" x14ac:dyDescent="0.45">
      <c r="A32" s="3" t="s">
        <v>242</v>
      </c>
      <c r="B32" s="3">
        <v>77</v>
      </c>
      <c r="C32" s="3">
        <v>71</v>
      </c>
      <c r="D32" s="3">
        <v>69</v>
      </c>
      <c r="E32" s="3">
        <f t="shared" si="3"/>
        <v>217</v>
      </c>
      <c r="F32" s="3" t="str">
        <f>HLOOKUP(_xlfn.RANK.EQ(E32,$E$28:$E$36),$B$39:$E$40,2)</f>
        <v>D</v>
      </c>
    </row>
    <row r="33" spans="1:6" x14ac:dyDescent="0.45">
      <c r="A33" s="3" t="s">
        <v>243</v>
      </c>
      <c r="B33" s="3">
        <v>96</v>
      </c>
      <c r="C33" s="3">
        <v>93</v>
      </c>
      <c r="D33" s="3">
        <v>95</v>
      </c>
      <c r="E33" s="3">
        <f t="shared" si="3"/>
        <v>284</v>
      </c>
      <c r="F33" s="3" t="str">
        <f>HLOOKUP(_xlfn.RANK.EQ(E33,$E$28:$E$36),$B$39:$E$40,2)</f>
        <v>A</v>
      </c>
    </row>
    <row r="34" spans="1:6" x14ac:dyDescent="0.45">
      <c r="A34" s="3" t="s">
        <v>244</v>
      </c>
      <c r="B34" s="3">
        <v>84</v>
      </c>
      <c r="C34" s="3">
        <v>88</v>
      </c>
      <c r="D34" s="3">
        <v>91</v>
      </c>
      <c r="E34" s="3">
        <f t="shared" si="3"/>
        <v>263</v>
      </c>
      <c r="F34" s="3" t="str">
        <f>HLOOKUP(_xlfn.RANK.EQ(E34,$E$28:$E$36),$B$39:$E$40,2)</f>
        <v>B</v>
      </c>
    </row>
    <row r="35" spans="1:6" x14ac:dyDescent="0.45">
      <c r="A35" s="3" t="s">
        <v>245</v>
      </c>
      <c r="B35" s="3">
        <v>94</v>
      </c>
      <c r="C35" s="3">
        <v>90</v>
      </c>
      <c r="D35" s="3">
        <v>90</v>
      </c>
      <c r="E35" s="3">
        <f t="shared" si="3"/>
        <v>274</v>
      </c>
      <c r="F35" s="3" t="str">
        <f>HLOOKUP(_xlfn.RANK.EQ(E35,$E$28:$E$36),$B$39:$E$40,2)</f>
        <v>A</v>
      </c>
    </row>
    <row r="36" spans="1:6" x14ac:dyDescent="0.45">
      <c r="A36" s="3" t="s">
        <v>246</v>
      </c>
      <c r="B36" s="3">
        <v>86</v>
      </c>
      <c r="C36" s="3">
        <v>84</v>
      </c>
      <c r="D36" s="3">
        <v>87</v>
      </c>
      <c r="E36" s="3">
        <f t="shared" si="3"/>
        <v>257</v>
      </c>
      <c r="F36" s="3" t="str">
        <f>HLOOKUP(_xlfn.RANK.EQ(E36,$E$28:$E$36),$B$39:$E$40,2)</f>
        <v>C</v>
      </c>
    </row>
    <row r="38" spans="1:6" x14ac:dyDescent="0.45">
      <c r="A38" t="s">
        <v>247</v>
      </c>
    </row>
    <row r="39" spans="1:6" x14ac:dyDescent="0.45">
      <c r="A39" s="3" t="s">
        <v>248</v>
      </c>
      <c r="B39" s="3">
        <v>1</v>
      </c>
      <c r="C39" s="3">
        <v>4</v>
      </c>
      <c r="D39" s="3">
        <v>6</v>
      </c>
      <c r="E39" s="3">
        <v>8</v>
      </c>
    </row>
    <row r="40" spans="1:6" x14ac:dyDescent="0.45">
      <c r="A40" s="3" t="s">
        <v>237</v>
      </c>
      <c r="B40" s="3" t="s">
        <v>249</v>
      </c>
      <c r="C40" s="3" t="s">
        <v>250</v>
      </c>
      <c r="D40" s="3" t="s">
        <v>251</v>
      </c>
      <c r="E40" s="3" t="s">
        <v>252</v>
      </c>
    </row>
  </sheetData>
  <mergeCells count="2">
    <mergeCell ref="D22:E22"/>
    <mergeCell ref="A24:B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4F2C-2C90-4A9D-9E04-B585C3172696}">
  <dimension ref="A1:K13"/>
  <sheetViews>
    <sheetView topLeftCell="G8" workbookViewId="0">
      <selection activeCell="T41" sqref="T41"/>
    </sheetView>
  </sheetViews>
  <sheetFormatPr defaultRowHeight="17" x14ac:dyDescent="0.45"/>
  <sheetData>
    <row r="1" spans="1:11" x14ac:dyDescent="0.45">
      <c r="A1" s="13" t="s">
        <v>82</v>
      </c>
      <c r="B1" s="22" t="s">
        <v>83</v>
      </c>
      <c r="C1" s="22"/>
      <c r="D1" s="22"/>
      <c r="E1" s="22"/>
      <c r="G1" s="14" t="s">
        <v>84</v>
      </c>
      <c r="H1" s="22" t="s">
        <v>85</v>
      </c>
      <c r="I1" s="22"/>
      <c r="J1" s="22"/>
      <c r="K1" s="22"/>
    </row>
    <row r="2" spans="1:11" x14ac:dyDescent="0.45">
      <c r="A2" s="15" t="s">
        <v>86</v>
      </c>
      <c r="B2" s="15" t="s">
        <v>87</v>
      </c>
      <c r="C2" s="15" t="s">
        <v>88</v>
      </c>
      <c r="D2" s="15" t="s">
        <v>89</v>
      </c>
      <c r="E2" s="15" t="s">
        <v>90</v>
      </c>
      <c r="G2" s="15" t="s">
        <v>86</v>
      </c>
      <c r="H2" s="15" t="s">
        <v>87</v>
      </c>
      <c r="I2" s="15" t="s">
        <v>88</v>
      </c>
      <c r="J2" s="15" t="s">
        <v>89</v>
      </c>
      <c r="K2" s="15" t="s">
        <v>90</v>
      </c>
    </row>
    <row r="3" spans="1:11" x14ac:dyDescent="0.45">
      <c r="A3" s="15" t="s">
        <v>91</v>
      </c>
      <c r="B3" s="15">
        <v>1053</v>
      </c>
      <c r="C3" s="15">
        <v>967</v>
      </c>
      <c r="D3" s="15">
        <v>1201</v>
      </c>
      <c r="E3" s="15">
        <v>1138</v>
      </c>
      <c r="G3" s="15" t="s">
        <v>91</v>
      </c>
      <c r="H3" s="15">
        <v>984</v>
      </c>
      <c r="I3" s="15">
        <v>862</v>
      </c>
      <c r="J3" s="15">
        <v>1082</v>
      </c>
      <c r="K3" s="15">
        <v>1125</v>
      </c>
    </row>
    <row r="4" spans="1:11" x14ac:dyDescent="0.45">
      <c r="A4" s="15" t="s">
        <v>92</v>
      </c>
      <c r="B4" s="15">
        <v>842</v>
      </c>
      <c r="C4" s="15">
        <v>935</v>
      </c>
      <c r="D4" s="15">
        <v>1153</v>
      </c>
      <c r="E4" s="15">
        <v>1219</v>
      </c>
      <c r="G4" s="15" t="s">
        <v>92</v>
      </c>
      <c r="H4" s="15">
        <v>673</v>
      </c>
      <c r="I4" s="15">
        <v>721</v>
      </c>
      <c r="J4" s="15">
        <v>621</v>
      </c>
      <c r="K4" s="15">
        <v>593</v>
      </c>
    </row>
    <row r="5" spans="1:11" x14ac:dyDescent="0.45">
      <c r="A5" s="15" t="s">
        <v>93</v>
      </c>
      <c r="B5" s="15">
        <v>1168</v>
      </c>
      <c r="C5" s="15">
        <v>1023</v>
      </c>
      <c r="D5" s="15">
        <v>934</v>
      </c>
      <c r="E5" s="15">
        <v>1086</v>
      </c>
      <c r="G5" s="15" t="s">
        <v>93</v>
      </c>
      <c r="H5" s="15">
        <v>596</v>
      </c>
      <c r="I5" s="15">
        <v>676</v>
      </c>
      <c r="J5" s="15">
        <v>738</v>
      </c>
      <c r="K5" s="15">
        <v>862</v>
      </c>
    </row>
    <row r="6" spans="1:11" x14ac:dyDescent="0.45">
      <c r="A6" s="15" t="s">
        <v>94</v>
      </c>
      <c r="B6" s="15">
        <v>1325</v>
      </c>
      <c r="C6" s="15">
        <v>1423</v>
      </c>
      <c r="D6" s="15">
        <v>1254</v>
      </c>
      <c r="E6" s="15">
        <v>1195</v>
      </c>
      <c r="G6" s="15" t="s">
        <v>94</v>
      </c>
      <c r="H6" s="15">
        <v>1045</v>
      </c>
      <c r="I6" s="15">
        <v>1254</v>
      </c>
      <c r="J6" s="15">
        <v>905</v>
      </c>
      <c r="K6" s="15">
        <v>1079</v>
      </c>
    </row>
    <row r="8" spans="1:11" x14ac:dyDescent="0.45">
      <c r="A8" s="14" t="s">
        <v>95</v>
      </c>
      <c r="B8" s="22" t="s">
        <v>96</v>
      </c>
      <c r="C8" s="22"/>
      <c r="D8" s="22"/>
      <c r="E8" s="22"/>
      <c r="G8" s="14" t="s">
        <v>97</v>
      </c>
      <c r="H8" s="22" t="s">
        <v>98</v>
      </c>
      <c r="I8" s="22"/>
      <c r="J8" s="22"/>
      <c r="K8" s="22"/>
    </row>
    <row r="9" spans="1:11" x14ac:dyDescent="0.45">
      <c r="A9" s="15" t="s">
        <v>86</v>
      </c>
      <c r="B9" s="15" t="s">
        <v>87</v>
      </c>
      <c r="C9" s="15" t="s">
        <v>88</v>
      </c>
      <c r="D9" s="15" t="s">
        <v>89</v>
      </c>
      <c r="E9" s="15" t="s">
        <v>90</v>
      </c>
      <c r="G9" s="15" t="s">
        <v>86</v>
      </c>
      <c r="H9" s="15" t="s">
        <v>87</v>
      </c>
      <c r="I9" s="15" t="s">
        <v>88</v>
      </c>
      <c r="J9" s="15" t="s">
        <v>89</v>
      </c>
      <c r="K9" s="15" t="s">
        <v>90</v>
      </c>
    </row>
    <row r="10" spans="1:11" x14ac:dyDescent="0.45">
      <c r="A10" s="15" t="s">
        <v>91</v>
      </c>
      <c r="B10" s="15">
        <v>1250</v>
      </c>
      <c r="C10" s="15">
        <v>1156</v>
      </c>
      <c r="D10" s="15">
        <v>1374</v>
      </c>
      <c r="E10" s="15">
        <v>1282</v>
      </c>
      <c r="G10" s="15" t="s">
        <v>91</v>
      </c>
      <c r="H10" s="16">
        <v>3287</v>
      </c>
      <c r="I10" s="16">
        <v>2985</v>
      </c>
      <c r="J10" s="16">
        <v>3657</v>
      </c>
      <c r="K10" s="16">
        <v>3545</v>
      </c>
    </row>
    <row r="11" spans="1:11" x14ac:dyDescent="0.45">
      <c r="A11" s="15" t="s">
        <v>92</v>
      </c>
      <c r="B11" s="15">
        <v>957</v>
      </c>
      <c r="C11" s="15">
        <v>1207</v>
      </c>
      <c r="D11" s="15">
        <v>997</v>
      </c>
      <c r="E11" s="15">
        <v>1023</v>
      </c>
      <c r="G11" s="15" t="s">
        <v>92</v>
      </c>
      <c r="H11" s="16">
        <v>2472</v>
      </c>
      <c r="I11" s="16">
        <v>2863</v>
      </c>
      <c r="J11" s="16">
        <v>2771</v>
      </c>
      <c r="K11" s="16">
        <v>2835</v>
      </c>
    </row>
    <row r="12" spans="1:11" x14ac:dyDescent="0.45">
      <c r="A12" s="15" t="s">
        <v>93</v>
      </c>
      <c r="B12" s="15">
        <v>1059</v>
      </c>
      <c r="C12" s="15">
        <v>1254</v>
      </c>
      <c r="D12" s="15">
        <v>1354</v>
      </c>
      <c r="E12" s="15">
        <v>1272</v>
      </c>
      <c r="G12" s="15" t="s">
        <v>93</v>
      </c>
      <c r="H12" s="16">
        <v>2823</v>
      </c>
      <c r="I12" s="16">
        <v>2953</v>
      </c>
      <c r="J12" s="16">
        <v>3026</v>
      </c>
      <c r="K12" s="16">
        <v>3220</v>
      </c>
    </row>
    <row r="13" spans="1:11" x14ac:dyDescent="0.45">
      <c r="A13" s="15" t="s">
        <v>94</v>
      </c>
      <c r="B13" s="15">
        <v>1425</v>
      </c>
      <c r="C13" s="15">
        <v>1638</v>
      </c>
      <c r="D13" s="15">
        <v>1578</v>
      </c>
      <c r="E13" s="15">
        <v>1639</v>
      </c>
      <c r="G13" s="15" t="s">
        <v>94</v>
      </c>
      <c r="H13" s="16">
        <v>3795</v>
      </c>
      <c r="I13" s="16">
        <v>4315</v>
      </c>
      <c r="J13" s="16">
        <v>3737</v>
      </c>
      <c r="K13" s="16">
        <v>3913</v>
      </c>
    </row>
  </sheetData>
  <dataConsolidate topLabels="1">
    <dataRefs count="3">
      <dataRef ref="A2:E6" sheet="분석작업-1"/>
      <dataRef ref="G2:K6" sheet="분석작업-1"/>
      <dataRef ref="A9:E13" sheet="분석작업-1"/>
    </dataRefs>
  </dataConsolidate>
  <mergeCells count="4">
    <mergeCell ref="H8:K8"/>
    <mergeCell ref="H1:K1"/>
    <mergeCell ref="B8:E8"/>
    <mergeCell ref="B1:E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F1AF-2F93-471F-8713-AD783BB60808}">
  <dimension ref="A1:F17"/>
  <sheetViews>
    <sheetView workbookViewId="0">
      <selection sqref="A1:F1"/>
    </sheetView>
  </sheetViews>
  <sheetFormatPr defaultRowHeight="17" x14ac:dyDescent="0.45"/>
  <sheetData>
    <row r="1" spans="1:6" ht="21" x14ac:dyDescent="0.45">
      <c r="A1" s="21" t="s">
        <v>99</v>
      </c>
      <c r="B1" s="21"/>
      <c r="C1" s="21"/>
      <c r="D1" s="21"/>
      <c r="E1" s="21"/>
      <c r="F1" s="21"/>
    </row>
    <row r="3" spans="1:6" x14ac:dyDescent="0.45">
      <c r="A3" s="3" t="s">
        <v>100</v>
      </c>
      <c r="B3" s="3" t="s">
        <v>101</v>
      </c>
      <c r="C3" s="3" t="s">
        <v>102</v>
      </c>
      <c r="D3" s="3" t="s">
        <v>103</v>
      </c>
      <c r="E3" s="3" t="s">
        <v>104</v>
      </c>
      <c r="F3" s="3" t="s">
        <v>105</v>
      </c>
    </row>
    <row r="4" spans="1:6" x14ac:dyDescent="0.45">
      <c r="A4" s="3" t="s">
        <v>106</v>
      </c>
      <c r="B4" s="3" t="s">
        <v>107</v>
      </c>
      <c r="C4" s="3" t="s">
        <v>108</v>
      </c>
      <c r="D4" s="3">
        <v>35</v>
      </c>
      <c r="E4" s="18">
        <v>2016</v>
      </c>
      <c r="F4" s="3" t="s">
        <v>109</v>
      </c>
    </row>
    <row r="5" spans="1:6" x14ac:dyDescent="0.45">
      <c r="A5" s="3" t="s">
        <v>106</v>
      </c>
      <c r="B5" s="3" t="s">
        <v>118</v>
      </c>
      <c r="C5" s="3" t="s">
        <v>112</v>
      </c>
      <c r="D5" s="17">
        <v>41</v>
      </c>
      <c r="E5" s="18">
        <v>2016</v>
      </c>
      <c r="F5" s="3" t="s">
        <v>109</v>
      </c>
    </row>
    <row r="6" spans="1:6" x14ac:dyDescent="0.45">
      <c r="A6" s="3" t="s">
        <v>106</v>
      </c>
      <c r="B6" s="3" t="s">
        <v>122</v>
      </c>
      <c r="C6" s="3" t="s">
        <v>112</v>
      </c>
      <c r="D6" s="17">
        <v>52</v>
      </c>
      <c r="E6" s="3">
        <v>2023</v>
      </c>
      <c r="F6" s="3" t="s">
        <v>113</v>
      </c>
    </row>
    <row r="7" spans="1:6" x14ac:dyDescent="0.45">
      <c r="A7" s="3" t="s">
        <v>106</v>
      </c>
      <c r="B7" s="3" t="s">
        <v>125</v>
      </c>
      <c r="C7" s="3" t="s">
        <v>112</v>
      </c>
      <c r="D7" s="3">
        <v>27</v>
      </c>
      <c r="E7" s="3">
        <v>2023</v>
      </c>
      <c r="F7" s="3" t="s">
        <v>113</v>
      </c>
    </row>
    <row r="8" spans="1:6" x14ac:dyDescent="0.45">
      <c r="A8" s="3" t="s">
        <v>106</v>
      </c>
      <c r="B8" s="3" t="s">
        <v>126</v>
      </c>
      <c r="C8" s="3" t="s">
        <v>108</v>
      </c>
      <c r="D8" s="17">
        <v>51</v>
      </c>
      <c r="E8" s="3">
        <v>2019</v>
      </c>
      <c r="F8" s="3" t="s">
        <v>109</v>
      </c>
    </row>
    <row r="9" spans="1:6" x14ac:dyDescent="0.45">
      <c r="A9" s="3" t="s">
        <v>110</v>
      </c>
      <c r="B9" s="3" t="s">
        <v>121</v>
      </c>
      <c r="C9" s="3" t="s">
        <v>112</v>
      </c>
      <c r="D9" s="3">
        <v>38</v>
      </c>
      <c r="E9" s="18">
        <v>2015</v>
      </c>
      <c r="F9" s="3" t="s">
        <v>109</v>
      </c>
    </row>
    <row r="10" spans="1:6" x14ac:dyDescent="0.45">
      <c r="A10" s="3" t="s">
        <v>110</v>
      </c>
      <c r="B10" s="3" t="s">
        <v>124</v>
      </c>
      <c r="C10" s="3" t="s">
        <v>112</v>
      </c>
      <c r="D10" s="3">
        <v>35</v>
      </c>
      <c r="E10" s="18">
        <v>2014</v>
      </c>
      <c r="F10" s="3" t="s">
        <v>109</v>
      </c>
    </row>
    <row r="11" spans="1:6" x14ac:dyDescent="0.45">
      <c r="A11" s="3" t="s">
        <v>110</v>
      </c>
      <c r="B11" s="3" t="s">
        <v>111</v>
      </c>
      <c r="C11" s="3" t="s">
        <v>112</v>
      </c>
      <c r="D11" s="17">
        <v>46</v>
      </c>
      <c r="E11" s="3">
        <v>2023</v>
      </c>
      <c r="F11" s="3" t="s">
        <v>113</v>
      </c>
    </row>
    <row r="12" spans="1:6" x14ac:dyDescent="0.45">
      <c r="A12" s="3" t="s">
        <v>110</v>
      </c>
      <c r="B12" s="3" t="s">
        <v>120</v>
      </c>
      <c r="C12" s="3" t="s">
        <v>112</v>
      </c>
      <c r="D12" s="3">
        <v>33</v>
      </c>
      <c r="E12" s="3">
        <v>2022</v>
      </c>
      <c r="F12" s="3" t="s">
        <v>113</v>
      </c>
    </row>
    <row r="13" spans="1:6" x14ac:dyDescent="0.45">
      <c r="A13" s="3" t="s">
        <v>116</v>
      </c>
      <c r="B13" s="3" t="s">
        <v>117</v>
      </c>
      <c r="C13" s="3" t="s">
        <v>108</v>
      </c>
      <c r="D13" s="3">
        <v>25</v>
      </c>
      <c r="E13" s="18">
        <v>2015</v>
      </c>
      <c r="F13" s="3" t="s">
        <v>109</v>
      </c>
    </row>
    <row r="14" spans="1:6" x14ac:dyDescent="0.45">
      <c r="A14" s="3" t="s">
        <v>116</v>
      </c>
      <c r="B14" s="3" t="s">
        <v>123</v>
      </c>
      <c r="C14" s="3" t="s">
        <v>108</v>
      </c>
      <c r="D14" s="17">
        <v>49</v>
      </c>
      <c r="E14" s="3">
        <v>2018</v>
      </c>
      <c r="F14" s="3" t="s">
        <v>109</v>
      </c>
    </row>
    <row r="15" spans="1:6" x14ac:dyDescent="0.45">
      <c r="A15" s="3" t="s">
        <v>114</v>
      </c>
      <c r="B15" s="3" t="s">
        <v>119</v>
      </c>
      <c r="C15" s="3" t="s">
        <v>108</v>
      </c>
      <c r="D15" s="17">
        <v>54</v>
      </c>
      <c r="E15" s="18">
        <v>2017</v>
      </c>
      <c r="F15" s="3" t="s">
        <v>109</v>
      </c>
    </row>
    <row r="16" spans="1:6" x14ac:dyDescent="0.45">
      <c r="A16" s="3" t="s">
        <v>114</v>
      </c>
      <c r="B16" s="3" t="s">
        <v>115</v>
      </c>
      <c r="C16" s="3" t="s">
        <v>112</v>
      </c>
      <c r="D16" s="3">
        <v>22</v>
      </c>
      <c r="E16" s="3">
        <v>2024</v>
      </c>
      <c r="F16" s="3" t="s">
        <v>113</v>
      </c>
    </row>
    <row r="17" spans="1:6" x14ac:dyDescent="0.45">
      <c r="A17" s="3" t="s">
        <v>114</v>
      </c>
      <c r="B17" s="3" t="s">
        <v>127</v>
      </c>
      <c r="C17" s="3" t="s">
        <v>108</v>
      </c>
      <c r="D17" s="3">
        <v>36</v>
      </c>
      <c r="E17" s="3">
        <v>2022</v>
      </c>
      <c r="F17" s="3" t="s">
        <v>113</v>
      </c>
    </row>
  </sheetData>
  <sortState xmlns:xlrd2="http://schemas.microsoft.com/office/spreadsheetml/2017/richdata2" ref="A4:F17">
    <sortCondition ref="A4:A17" customList="수영,헬스,테니스,골프"/>
    <sortCondition sortBy="cellColor" ref="E4:E17" dxfId="0"/>
  </sortState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dimension ref="A1:E11"/>
  <sheetViews>
    <sheetView workbookViewId="0">
      <selection sqref="A1:E1"/>
    </sheetView>
  </sheetViews>
  <sheetFormatPr defaultRowHeight="17" x14ac:dyDescent="0.45"/>
  <cols>
    <col min="3" max="3" width="8.6640625" customWidth="1"/>
    <col min="5" max="5" width="12.58203125" customWidth="1"/>
    <col min="7" max="7" width="11.58203125" customWidth="1"/>
  </cols>
  <sheetData>
    <row r="1" spans="1:5" ht="21" x14ac:dyDescent="0.45">
      <c r="A1" s="21" t="s">
        <v>128</v>
      </c>
      <c r="B1" s="21"/>
      <c r="C1" s="21"/>
      <c r="D1" s="21"/>
      <c r="E1" s="21"/>
    </row>
    <row r="3" spans="1:5" x14ac:dyDescent="0.45">
      <c r="A3" s="3" t="s">
        <v>129</v>
      </c>
      <c r="B3" s="3" t="s">
        <v>130</v>
      </c>
      <c r="C3" s="3" t="s">
        <v>131</v>
      </c>
      <c r="D3" s="3" t="s">
        <v>132</v>
      </c>
      <c r="E3" s="3" t="s">
        <v>133</v>
      </c>
    </row>
    <row r="4" spans="1:5" x14ac:dyDescent="0.45">
      <c r="A4" s="3" t="s">
        <v>134</v>
      </c>
      <c r="B4" s="3" t="s">
        <v>135</v>
      </c>
      <c r="C4" s="6">
        <v>46800</v>
      </c>
      <c r="D4" s="3">
        <v>563</v>
      </c>
      <c r="E4" s="6">
        <f>C4*D4</f>
        <v>26348400</v>
      </c>
    </row>
    <row r="5" spans="1:5" x14ac:dyDescent="0.45">
      <c r="A5" s="3" t="s">
        <v>136</v>
      </c>
      <c r="B5" s="3" t="s">
        <v>137</v>
      </c>
      <c r="C5" s="6">
        <v>31500</v>
      </c>
      <c r="D5" s="3">
        <v>425</v>
      </c>
      <c r="E5" s="6">
        <f t="shared" ref="E5:E11" si="0">C5*D5</f>
        <v>13387500</v>
      </c>
    </row>
    <row r="6" spans="1:5" x14ac:dyDescent="0.45">
      <c r="A6" s="3" t="s">
        <v>138</v>
      </c>
      <c r="B6" s="3" t="s">
        <v>137</v>
      </c>
      <c r="C6" s="6">
        <v>43800</v>
      </c>
      <c r="D6" s="3">
        <v>152</v>
      </c>
      <c r="E6" s="6">
        <f t="shared" si="0"/>
        <v>6657600</v>
      </c>
    </row>
    <row r="7" spans="1:5" x14ac:dyDescent="0.45">
      <c r="A7" s="3" t="s">
        <v>139</v>
      </c>
      <c r="B7" s="3" t="s">
        <v>140</v>
      </c>
      <c r="C7" s="6">
        <v>31700</v>
      </c>
      <c r="D7" s="3">
        <v>95</v>
      </c>
      <c r="E7" s="6">
        <f t="shared" si="0"/>
        <v>3011500</v>
      </c>
    </row>
    <row r="8" spans="1:5" x14ac:dyDescent="0.45">
      <c r="A8" s="3" t="s">
        <v>141</v>
      </c>
      <c r="B8" s="3" t="s">
        <v>135</v>
      </c>
      <c r="C8" s="6">
        <v>39900</v>
      </c>
      <c r="D8" s="3">
        <v>357</v>
      </c>
      <c r="E8" s="6">
        <f t="shared" si="0"/>
        <v>14244300</v>
      </c>
    </row>
    <row r="9" spans="1:5" x14ac:dyDescent="0.45">
      <c r="A9" s="3" t="s">
        <v>142</v>
      </c>
      <c r="B9" s="3" t="s">
        <v>143</v>
      </c>
      <c r="C9" s="6">
        <v>27400</v>
      </c>
      <c r="D9" s="3">
        <v>392</v>
      </c>
      <c r="E9" s="6">
        <f t="shared" si="0"/>
        <v>10740800</v>
      </c>
    </row>
    <row r="10" spans="1:5" x14ac:dyDescent="0.45">
      <c r="A10" s="3" t="s">
        <v>144</v>
      </c>
      <c r="B10" s="3" t="s">
        <v>137</v>
      </c>
      <c r="C10" s="6">
        <v>30600</v>
      </c>
      <c r="D10" s="3">
        <v>246</v>
      </c>
      <c r="E10" s="6">
        <f t="shared" si="0"/>
        <v>7527600</v>
      </c>
    </row>
    <row r="11" spans="1:5" x14ac:dyDescent="0.45">
      <c r="A11" s="3" t="s">
        <v>145</v>
      </c>
      <c r="B11" s="3" t="s">
        <v>140</v>
      </c>
      <c r="C11" s="6">
        <v>26400</v>
      </c>
      <c r="D11" s="3">
        <v>135</v>
      </c>
      <c r="E11" s="6">
        <f t="shared" si="0"/>
        <v>3564000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통화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D939-96C4-4BD7-8A94-423618CA3027}">
  <dimension ref="A1:E10"/>
  <sheetViews>
    <sheetView workbookViewId="0">
      <selection sqref="A1:E1"/>
    </sheetView>
  </sheetViews>
  <sheetFormatPr defaultRowHeight="17" x14ac:dyDescent="0.45"/>
  <cols>
    <col min="1" max="1" width="10.4140625" bestFit="1" customWidth="1"/>
  </cols>
  <sheetData>
    <row r="1" spans="1:5" ht="21" x14ac:dyDescent="0.45">
      <c r="A1" s="21" t="s">
        <v>146</v>
      </c>
      <c r="B1" s="21"/>
      <c r="C1" s="21"/>
      <c r="D1" s="21"/>
      <c r="E1" s="21"/>
    </row>
    <row r="3" spans="1:5" x14ac:dyDescent="0.45">
      <c r="A3" s="3" t="s">
        <v>147</v>
      </c>
      <c r="B3" s="3" t="s">
        <v>148</v>
      </c>
      <c r="C3" s="3" t="s">
        <v>149</v>
      </c>
      <c r="D3" s="3" t="s">
        <v>150</v>
      </c>
      <c r="E3" s="3" t="s">
        <v>151</v>
      </c>
    </row>
    <row r="4" spans="1:5" x14ac:dyDescent="0.45">
      <c r="A4" s="3" t="s">
        <v>152</v>
      </c>
      <c r="B4" s="19">
        <v>6800</v>
      </c>
      <c r="C4" s="19">
        <v>120</v>
      </c>
      <c r="D4" s="19">
        <v>112</v>
      </c>
      <c r="E4" s="19">
        <v>8</v>
      </c>
    </row>
    <row r="5" spans="1:5" x14ac:dyDescent="0.45">
      <c r="A5" s="3" t="s">
        <v>153</v>
      </c>
      <c r="B5" s="19">
        <v>5750</v>
      </c>
      <c r="C5" s="19">
        <v>150</v>
      </c>
      <c r="D5" s="19">
        <v>128</v>
      </c>
      <c r="E5" s="19">
        <v>22</v>
      </c>
    </row>
    <row r="6" spans="1:5" x14ac:dyDescent="0.45">
      <c r="A6" s="3" t="s">
        <v>154</v>
      </c>
      <c r="B6" s="19">
        <v>7900</v>
      </c>
      <c r="C6" s="19">
        <v>100</v>
      </c>
      <c r="D6" s="19">
        <v>79</v>
      </c>
      <c r="E6" s="19">
        <v>21</v>
      </c>
    </row>
    <row r="7" spans="1:5" x14ac:dyDescent="0.45">
      <c r="A7" s="3" t="s">
        <v>155</v>
      </c>
      <c r="B7" s="19">
        <v>8200</v>
      </c>
      <c r="C7" s="19">
        <v>80</v>
      </c>
      <c r="D7" s="19">
        <v>61</v>
      </c>
      <c r="E7" s="19">
        <v>19</v>
      </c>
    </row>
    <row r="8" spans="1:5" x14ac:dyDescent="0.45">
      <c r="A8" s="3" t="s">
        <v>156</v>
      </c>
      <c r="B8" s="19">
        <v>4900</v>
      </c>
      <c r="C8" s="19">
        <v>220</v>
      </c>
      <c r="D8" s="19">
        <v>208</v>
      </c>
      <c r="E8" s="19">
        <v>12</v>
      </c>
    </row>
    <row r="9" spans="1:5" x14ac:dyDescent="0.45">
      <c r="A9" s="3" t="s">
        <v>157</v>
      </c>
      <c r="B9" s="19">
        <v>3550</v>
      </c>
      <c r="C9" s="19">
        <v>200</v>
      </c>
      <c r="D9" s="19">
        <v>184</v>
      </c>
      <c r="E9" s="19">
        <v>16</v>
      </c>
    </row>
    <row r="10" spans="1:5" x14ac:dyDescent="0.45">
      <c r="A10" s="3" t="s">
        <v>158</v>
      </c>
      <c r="B10" s="19">
        <v>37100</v>
      </c>
      <c r="C10" s="19">
        <v>870</v>
      </c>
      <c r="D10" s="19">
        <v>772</v>
      </c>
      <c r="E10" s="19">
        <v>98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  <vt:lpstr>쪽수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2025-02-05T04:40:07Z</dcterms:created>
  <dcterms:modified xsi:type="dcterms:W3CDTF">2025-02-17T08:36:52Z</dcterms:modified>
</cp:coreProperties>
</file>