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3. 2026년 컴활2급 상시02\"/>
    </mc:Choice>
  </mc:AlternateContent>
  <xr:revisionPtr revIDLastSave="0" documentId="13_ncr:1_{5CA33FE6-CFBD-48B5-A910-B500B4371C11}" xr6:coauthVersionLast="47" xr6:coauthVersionMax="47" xr10:uidLastSave="{00000000-0000-0000-0000-000000000000}"/>
  <bookViews>
    <workbookView xWindow="4065" yWindow="2850" windowWidth="21600" windowHeight="11385" xr2:uid="{454C2710-479D-43CF-B081-445713A883DF}"/>
  </bookViews>
  <sheets>
    <sheet name="기본작업-1" sheetId="9" r:id="rId1"/>
    <sheet name="기본작업-2" sheetId="10" r:id="rId2"/>
    <sheet name="기본작업-3" sheetId="11" r:id="rId3"/>
    <sheet name="계산작업" sheetId="16" r:id="rId4"/>
    <sheet name="분석작업-1" sheetId="12" r:id="rId5"/>
    <sheet name="분석작업-2" sheetId="13" r:id="rId6"/>
    <sheet name="매크로작업" sheetId="14" r:id="rId7"/>
    <sheet name="차트작업" sheetId="15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3" l="1"/>
  <c r="F14" i="13"/>
  <c r="F13" i="13"/>
  <c r="F12" i="13"/>
  <c r="F11" i="13"/>
  <c r="F10" i="13"/>
  <c r="F9" i="13"/>
  <c r="F8" i="13"/>
  <c r="F7" i="13"/>
  <c r="F6" i="13"/>
  <c r="F5" i="13"/>
  <c r="F4" i="13"/>
  <c r="F15" i="12" l="1"/>
  <c r="F14" i="12"/>
  <c r="F13" i="12"/>
  <c r="F12" i="12"/>
  <c r="F11" i="12"/>
  <c r="F10" i="12"/>
  <c r="F9" i="12"/>
  <c r="F8" i="12"/>
  <c r="F7" i="12"/>
  <c r="F6" i="12"/>
  <c r="F5" i="12"/>
  <c r="F4" i="12"/>
  <c r="F15" i="11" l="1"/>
  <c r="F14" i="11"/>
  <c r="F13" i="11"/>
  <c r="F12" i="11"/>
  <c r="F11" i="11"/>
  <c r="F10" i="11"/>
  <c r="F9" i="11"/>
  <c r="F8" i="11"/>
  <c r="F7" i="11"/>
  <c r="F6" i="11"/>
  <c r="F5" i="11"/>
  <c r="F4" i="11"/>
  <c r="G12" i="10" l="1"/>
  <c r="G11" i="10"/>
  <c r="G10" i="10"/>
  <c r="G9" i="10"/>
  <c r="G8" i="10"/>
  <c r="G7" i="10"/>
  <c r="G6" i="10"/>
  <c r="G5" i="10"/>
  <c r="G4" i="10"/>
</calcChain>
</file>

<file path=xl/sharedStrings.xml><?xml version="1.0" encoding="utf-8"?>
<sst xmlns="http://schemas.openxmlformats.org/spreadsheetml/2006/main" count="290" uniqueCount="246">
  <si>
    <t>상품명</t>
    <phoneticPr fontId="1" type="noConversion"/>
  </si>
  <si>
    <t>한국여행사 상품 등록 현황</t>
    <phoneticPr fontId="1" type="noConversion"/>
  </si>
  <si>
    <t>[표1]</t>
    <phoneticPr fontId="1" type="noConversion"/>
  </si>
  <si>
    <t>대여일자</t>
    <phoneticPr fontId="1" type="noConversion"/>
  </si>
  <si>
    <t>수량</t>
    <phoneticPr fontId="1" type="noConversion"/>
  </si>
  <si>
    <t>반납예정일자</t>
    <phoneticPr fontId="1" type="noConversion"/>
  </si>
  <si>
    <t>제품 대여 현황</t>
    <phoneticPr fontId="1" type="noConversion"/>
  </si>
  <si>
    <t>제품코드</t>
    <phoneticPr fontId="1" type="noConversion"/>
  </si>
  <si>
    <t>SN-6041</t>
    <phoneticPr fontId="1" type="noConversion"/>
  </si>
  <si>
    <t>SN-5722</t>
    <phoneticPr fontId="1" type="noConversion"/>
  </si>
  <si>
    <t>SN-9346</t>
    <phoneticPr fontId="1" type="noConversion"/>
  </si>
  <si>
    <t>SN-5713</t>
    <phoneticPr fontId="1" type="noConversion"/>
  </si>
  <si>
    <t>SN-1008</t>
    <phoneticPr fontId="1" type="noConversion"/>
  </si>
  <si>
    <t>SN-7620</t>
    <phoneticPr fontId="1" type="noConversion"/>
  </si>
  <si>
    <t>SN-3488</t>
    <phoneticPr fontId="1" type="noConversion"/>
  </si>
  <si>
    <t>SN-2706</t>
    <phoneticPr fontId="1" type="noConversion"/>
  </si>
  <si>
    <t>한국다원 차 판매 현황</t>
    <phoneticPr fontId="1" type="noConversion"/>
  </si>
  <si>
    <t>구분</t>
    <phoneticPr fontId="1" type="noConversion"/>
  </si>
  <si>
    <t>유통기한</t>
    <phoneticPr fontId="1" type="noConversion"/>
  </si>
  <si>
    <t>중량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</si>
  <si>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</si>
  <si>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</si>
  <si>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</si>
  <si>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티백</t>
    <phoneticPr fontId="1" type="noConversion"/>
  </si>
  <si>
    <t>메밀누룽지차</t>
    <phoneticPr fontId="1" type="noConversion"/>
  </si>
  <si>
    <t>16g</t>
    <phoneticPr fontId="1" type="noConversion"/>
  </si>
  <si>
    <t>케모마일녹차</t>
    <phoneticPr fontId="1" type="noConversion"/>
  </si>
  <si>
    <t>15g</t>
    <phoneticPr fontId="1" type="noConversion"/>
  </si>
  <si>
    <t>루이보스보리차</t>
    <phoneticPr fontId="1" type="noConversion"/>
  </si>
  <si>
    <t>12g</t>
    <phoneticPr fontId="1" type="noConversion"/>
  </si>
  <si>
    <t>순한보리차</t>
    <phoneticPr fontId="1" type="noConversion"/>
  </si>
  <si>
    <t>22g</t>
    <phoneticPr fontId="1" type="noConversion"/>
  </si>
  <si>
    <t>서원현미녹차</t>
    <phoneticPr fontId="1" type="noConversion"/>
  </si>
  <si>
    <t>18g</t>
    <phoneticPr fontId="1" type="noConversion"/>
  </si>
  <si>
    <t>분말</t>
    <phoneticPr fontId="1" type="noConversion"/>
  </si>
  <si>
    <t>고려인삼차</t>
    <phoneticPr fontId="1" type="noConversion"/>
  </si>
  <si>
    <t>23g</t>
    <phoneticPr fontId="1" type="noConversion"/>
  </si>
  <si>
    <t>건강한천마차</t>
    <phoneticPr fontId="1" type="noConversion"/>
  </si>
  <si>
    <t>20g</t>
    <phoneticPr fontId="1" type="noConversion"/>
  </si>
  <si>
    <t>액상</t>
    <phoneticPr fontId="1" type="noConversion"/>
  </si>
  <si>
    <t>달달꿀생강차</t>
    <phoneticPr fontId="1" type="noConversion"/>
  </si>
  <si>
    <t>30g</t>
    <phoneticPr fontId="1" type="noConversion"/>
  </si>
  <si>
    <t>스위트모과차</t>
    <phoneticPr fontId="1" type="noConversion"/>
  </si>
  <si>
    <t>25g</t>
    <phoneticPr fontId="1" type="noConversion"/>
  </si>
  <si>
    <t>상공마트 판매 현황</t>
    <phoneticPr fontId="1" type="noConversion"/>
  </si>
  <si>
    <t>제품명</t>
    <phoneticPr fontId="1" type="noConversion"/>
  </si>
  <si>
    <t>입고일자</t>
    <phoneticPr fontId="1" type="noConversion"/>
  </si>
  <si>
    <t>입고량</t>
    <phoneticPr fontId="1" type="noConversion"/>
  </si>
  <si>
    <t>판매금액</t>
    <phoneticPr fontId="1" type="noConversion"/>
  </si>
  <si>
    <t>맛있는라면</t>
    <phoneticPr fontId="1" type="noConversion"/>
  </si>
  <si>
    <t>대패삼겹살</t>
    <phoneticPr fontId="1" type="noConversion"/>
  </si>
  <si>
    <t>새빨간사과</t>
    <phoneticPr fontId="1" type="noConversion"/>
  </si>
  <si>
    <t>신선대란</t>
    <phoneticPr fontId="1" type="noConversion"/>
  </si>
  <si>
    <t>꿀고구마</t>
    <phoneticPr fontId="1" type="noConversion"/>
  </si>
  <si>
    <t>우리우유</t>
    <phoneticPr fontId="1" type="noConversion"/>
  </si>
  <si>
    <t>훈제오리</t>
    <phoneticPr fontId="1" type="noConversion"/>
  </si>
  <si>
    <t>제주은갈치</t>
    <phoneticPr fontId="1" type="noConversion"/>
  </si>
  <si>
    <t>꽃갈비살</t>
    <phoneticPr fontId="1" type="noConversion"/>
  </si>
  <si>
    <t>모둠초밥</t>
    <phoneticPr fontId="1" type="noConversion"/>
  </si>
  <si>
    <t>성주참외</t>
    <phoneticPr fontId="1" type="noConversion"/>
  </si>
  <si>
    <t>씨없는포도</t>
    <phoneticPr fontId="1" type="noConversion"/>
  </si>
  <si>
    <t>1분기 실적 현황</t>
    <phoneticPr fontId="1" type="noConversion"/>
  </si>
  <si>
    <t>사원명</t>
    <phoneticPr fontId="1" type="noConversion"/>
  </si>
  <si>
    <t>부서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</si>
  <si>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</si>
  <si>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</si>
  <si>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</si>
  <si>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총계</t>
    <phoneticPr fontId="1" type="noConversion"/>
  </si>
  <si>
    <t>강송연</t>
  </si>
  <si>
    <t>영업3팀</t>
  </si>
  <si>
    <t>고시율</t>
  </si>
  <si>
    <t>영업2팀</t>
  </si>
  <si>
    <t>곽민건</t>
  </si>
  <si>
    <t>영업1팀</t>
    <phoneticPr fontId="1" type="noConversion"/>
  </si>
  <si>
    <t>권승원</t>
  </si>
  <si>
    <t>배시안</t>
  </si>
  <si>
    <t>배현준</t>
  </si>
  <si>
    <t>이성우</t>
  </si>
  <si>
    <t>이혜은</t>
    <phoneticPr fontId="1" type="noConversion"/>
  </si>
  <si>
    <t>임동율</t>
  </si>
  <si>
    <t>전서현</t>
  </si>
  <si>
    <t>전유진</t>
  </si>
  <si>
    <t>한가온</t>
    <phoneticPr fontId="1" type="noConversion"/>
  </si>
  <si>
    <t>지점별 매출 실적 현황</t>
    <phoneticPr fontId="1" type="noConversion"/>
  </si>
  <si>
    <t>제품명</t>
  </si>
  <si>
    <t>지점</t>
  </si>
  <si>
    <t>판매담당자</t>
  </si>
  <si>
    <t>판매량</t>
  </si>
  <si>
    <t>판매가</t>
  </si>
  <si>
    <t>총판매액</t>
  </si>
  <si>
    <t>저상형침대</t>
  </si>
  <si>
    <t>노원</t>
  </si>
  <si>
    <t>양은하</t>
  </si>
  <si>
    <t>4단책장</t>
  </si>
  <si>
    <t>성북</t>
  </si>
  <si>
    <t>허해수</t>
  </si>
  <si>
    <t>패브릭쇼파</t>
  </si>
  <si>
    <t>문시윤</t>
  </si>
  <si>
    <t>패밀리식탁</t>
  </si>
  <si>
    <t>마포</t>
  </si>
  <si>
    <t>서세진</t>
  </si>
  <si>
    <t>손서은</t>
  </si>
  <si>
    <t>콘솔장</t>
  </si>
  <si>
    <t>전준일</t>
  </si>
  <si>
    <t>우수아</t>
  </si>
  <si>
    <t>손찬호</t>
  </si>
  <si>
    <t>김소원</t>
  </si>
  <si>
    <t>최효인</t>
  </si>
  <si>
    <t>우영선</t>
  </si>
  <si>
    <t>고수연</t>
  </si>
  <si>
    <t>성적 현황</t>
  </si>
  <si>
    <t>기말고사</t>
  </si>
  <si>
    <t>이름</t>
    <phoneticPr fontId="1" type="noConversion"/>
  </si>
  <si>
    <t>중간고사</t>
    <phoneticPr fontId="1" type="noConversion"/>
  </si>
  <si>
    <t>평균</t>
    <phoneticPr fontId="1" type="noConversion"/>
  </si>
  <si>
    <t>건축</t>
    <phoneticPr fontId="1" type="noConversion"/>
  </si>
  <si>
    <t>토목</t>
    <phoneticPr fontId="1" type="noConversion"/>
  </si>
  <si>
    <t>조경</t>
    <phoneticPr fontId="1" type="noConversion"/>
  </si>
  <si>
    <t>학과</t>
    <phoneticPr fontId="1" type="noConversion"/>
  </si>
  <si>
    <t>박나영</t>
    <phoneticPr fontId="1" type="noConversion"/>
  </si>
  <si>
    <t>임태웅</t>
    <phoneticPr fontId="1" type="noConversion"/>
  </si>
  <si>
    <t>김태진</t>
    <phoneticPr fontId="1" type="noConversion"/>
  </si>
  <si>
    <t>이재희</t>
    <phoneticPr fontId="1" type="noConversion"/>
  </si>
  <si>
    <t>유세영</t>
    <phoneticPr fontId="1" type="noConversion"/>
  </si>
  <si>
    <t>송혜교</t>
    <phoneticPr fontId="1" type="noConversion"/>
  </si>
  <si>
    <t>강동원</t>
    <phoneticPr fontId="1" type="noConversion"/>
  </si>
  <si>
    <t>한화진</t>
    <phoneticPr fontId="1" type="noConversion"/>
  </si>
  <si>
    <t>연도별 회원 현황</t>
    <phoneticPr fontId="1" type="noConversion"/>
  </si>
  <si>
    <t>VIP</t>
  </si>
  <si>
    <t>합계</t>
  </si>
  <si>
    <t>2022년</t>
    <phoneticPr fontId="1" type="noConversion"/>
  </si>
  <si>
    <t>2023년</t>
  </si>
  <si>
    <t>2024년</t>
  </si>
  <si>
    <t>2025년</t>
  </si>
  <si>
    <t>골드</t>
    <phoneticPr fontId="1" type="noConversion"/>
  </si>
  <si>
    <t>실버</t>
    <phoneticPr fontId="1" type="noConversion"/>
  </si>
  <si>
    <t>일반</t>
    <phoneticPr fontId="1" type="noConversion"/>
  </si>
  <si>
    <t>등급</t>
    <phoneticPr fontId="1" type="noConversion"/>
  </si>
  <si>
    <t>[표2]</t>
  </si>
  <si>
    <t>시험 결과</t>
  </si>
  <si>
    <t>이름</t>
  </si>
  <si>
    <t>반</t>
  </si>
  <si>
    <t>점수</t>
  </si>
  <si>
    <t>1, 3반 최저 점수 평균</t>
    <phoneticPr fontId="1" type="noConversion"/>
  </si>
  <si>
    <t>김은소</t>
    <phoneticPr fontId="1" type="noConversion"/>
  </si>
  <si>
    <t>2반</t>
  </si>
  <si>
    <t>조광희</t>
    <phoneticPr fontId="1" type="noConversion"/>
  </si>
  <si>
    <t>3반</t>
  </si>
  <si>
    <t>정다빈</t>
    <phoneticPr fontId="1" type="noConversion"/>
  </si>
  <si>
    <t>1반</t>
  </si>
  <si>
    <t>유성훈</t>
    <phoneticPr fontId="1" type="noConversion"/>
  </si>
  <si>
    <t>박진만</t>
    <phoneticPr fontId="1" type="noConversion"/>
  </si>
  <si>
    <t>이윤서</t>
    <phoneticPr fontId="1" type="noConversion"/>
  </si>
  <si>
    <t>&lt;조건&gt;</t>
    <phoneticPr fontId="1" type="noConversion"/>
  </si>
  <si>
    <t>김한순</t>
    <phoneticPr fontId="1" type="noConversion"/>
  </si>
  <si>
    <t>이나영</t>
    <phoneticPr fontId="1" type="noConversion"/>
  </si>
  <si>
    <t>[표3]</t>
    <phoneticPr fontId="1" type="noConversion"/>
  </si>
  <si>
    <t>한국항공 예약 현황</t>
    <phoneticPr fontId="1" type="noConversion"/>
  </si>
  <si>
    <t>[표4]</t>
    <phoneticPr fontId="1" type="noConversion"/>
  </si>
  <si>
    <t>제품출고 현황</t>
    <phoneticPr fontId="1" type="noConversion"/>
  </si>
  <si>
    <t>예약코드</t>
    <phoneticPr fontId="1" type="noConversion"/>
  </si>
  <si>
    <t>예약일자</t>
    <phoneticPr fontId="1" type="noConversion"/>
  </si>
  <si>
    <t>도착지</t>
    <phoneticPr fontId="1" type="noConversion"/>
  </si>
  <si>
    <t>좌석</t>
    <phoneticPr fontId="1" type="noConversion"/>
  </si>
  <si>
    <t>제품</t>
    <phoneticPr fontId="1" type="noConversion"/>
  </si>
  <si>
    <t>구분코드</t>
    <phoneticPr fontId="1" type="noConversion"/>
  </si>
  <si>
    <t>출고가</t>
    <phoneticPr fontId="1" type="noConversion"/>
  </si>
  <si>
    <t>출고량</t>
    <phoneticPr fontId="1" type="noConversion"/>
  </si>
  <si>
    <t>출고일자</t>
    <phoneticPr fontId="1" type="noConversion"/>
  </si>
  <si>
    <t>RN-2-93</t>
    <phoneticPr fontId="1" type="noConversion"/>
  </si>
  <si>
    <t>토론토</t>
    <phoneticPr fontId="1" type="noConversion"/>
  </si>
  <si>
    <t>원피스</t>
    <phoneticPr fontId="1" type="noConversion"/>
  </si>
  <si>
    <t>4월2일</t>
  </si>
  <si>
    <t>RN-3-57</t>
    <phoneticPr fontId="1" type="noConversion"/>
  </si>
  <si>
    <t>뉴욕</t>
    <phoneticPr fontId="1" type="noConversion"/>
  </si>
  <si>
    <t>구두</t>
    <phoneticPr fontId="1" type="noConversion"/>
  </si>
  <si>
    <t>RN-1-22</t>
    <phoneticPr fontId="1" type="noConversion"/>
  </si>
  <si>
    <t>스위스</t>
    <phoneticPr fontId="1" type="noConversion"/>
  </si>
  <si>
    <t>스커트</t>
    <phoneticPr fontId="1" type="noConversion"/>
  </si>
  <si>
    <t>RN-2-61</t>
    <phoneticPr fontId="1" type="noConversion"/>
  </si>
  <si>
    <t>이탈리아</t>
    <phoneticPr fontId="1" type="noConversion"/>
  </si>
  <si>
    <t>모자</t>
    <phoneticPr fontId="1" type="noConversion"/>
  </si>
  <si>
    <t>4월8일</t>
  </si>
  <si>
    <t>RN-3-16</t>
    <phoneticPr fontId="1" type="noConversion"/>
  </si>
  <si>
    <t>스페인</t>
    <phoneticPr fontId="1" type="noConversion"/>
  </si>
  <si>
    <t>운동화</t>
    <phoneticPr fontId="1" type="noConversion"/>
  </si>
  <si>
    <t>RN-1-29</t>
    <phoneticPr fontId="1" type="noConversion"/>
  </si>
  <si>
    <t>방콕</t>
    <phoneticPr fontId="1" type="noConversion"/>
  </si>
  <si>
    <t>지갑</t>
    <phoneticPr fontId="1" type="noConversion"/>
  </si>
  <si>
    <t>RN-1-81</t>
    <phoneticPr fontId="1" type="noConversion"/>
  </si>
  <si>
    <t>하와이</t>
    <phoneticPr fontId="1" type="noConversion"/>
  </si>
  <si>
    <t>청바지</t>
    <phoneticPr fontId="1" type="noConversion"/>
  </si>
  <si>
    <t>RN-1-09</t>
    <phoneticPr fontId="1" type="noConversion"/>
  </si>
  <si>
    <t>다낭</t>
    <phoneticPr fontId="1" type="noConversion"/>
  </si>
  <si>
    <t>면바지</t>
    <phoneticPr fontId="1" type="noConversion"/>
  </si>
  <si>
    <t>4월16일</t>
  </si>
  <si>
    <t>RN-2-84</t>
    <phoneticPr fontId="1" type="noConversion"/>
  </si>
  <si>
    <t>오사카</t>
    <phoneticPr fontId="1" type="noConversion"/>
  </si>
  <si>
    <t>벨트</t>
    <phoneticPr fontId="1" type="noConversion"/>
  </si>
  <si>
    <t>RN-3-70</t>
    <phoneticPr fontId="1" type="noConversion"/>
  </si>
  <si>
    <t>그리스</t>
    <phoneticPr fontId="1" type="noConversion"/>
  </si>
  <si>
    <t>빈도가 가장 높은 제품 수</t>
    <phoneticPr fontId="1" type="noConversion"/>
  </si>
  <si>
    <t>[표5]</t>
  </si>
  <si>
    <t>재학생정보</t>
  </si>
  <si>
    <t>학번</t>
  </si>
  <si>
    <t>입학년도</t>
  </si>
  <si>
    <t>성명</t>
  </si>
  <si>
    <t>학과</t>
  </si>
  <si>
    <t>&lt;학과정보표&gt;</t>
  </si>
  <si>
    <t>AE1542</t>
  </si>
  <si>
    <t>김지민</t>
    <phoneticPr fontId="1" type="noConversion"/>
  </si>
  <si>
    <t>학과코드</t>
  </si>
  <si>
    <t>학과교수</t>
  </si>
  <si>
    <t>학과명</t>
  </si>
  <si>
    <t>DE2546</t>
  </si>
  <si>
    <t>한해진</t>
    <phoneticPr fontId="1" type="noConversion"/>
  </si>
  <si>
    <t>AE</t>
  </si>
  <si>
    <t>박승수</t>
    <phoneticPr fontId="1" type="noConversion"/>
  </si>
  <si>
    <t>디자인</t>
  </si>
  <si>
    <t>FH1095</t>
  </si>
  <si>
    <t>유재성</t>
    <phoneticPr fontId="1" type="noConversion"/>
  </si>
  <si>
    <t>DE</t>
  </si>
  <si>
    <t>이경도</t>
    <phoneticPr fontId="1" type="noConversion"/>
  </si>
  <si>
    <t>미디어</t>
  </si>
  <si>
    <t>AE2428</t>
  </si>
  <si>
    <t>황영준</t>
    <phoneticPr fontId="1" type="noConversion"/>
  </si>
  <si>
    <t>FH</t>
  </si>
  <si>
    <t>한용택</t>
    <phoneticPr fontId="1" type="noConversion"/>
  </si>
  <si>
    <t>실용음악</t>
  </si>
  <si>
    <t>BS2937</t>
  </si>
  <si>
    <t>윤승아</t>
    <phoneticPr fontId="1" type="noConversion"/>
  </si>
  <si>
    <t>BS</t>
  </si>
  <si>
    <t>김태영</t>
    <phoneticPr fontId="1" type="noConversion"/>
  </si>
  <si>
    <t>문예창작</t>
  </si>
  <si>
    <t>DE3810</t>
  </si>
  <si>
    <t>표승철</t>
    <phoneticPr fontId="1" type="noConversion"/>
  </si>
  <si>
    <t>FH2767</t>
  </si>
  <si>
    <t>전태희</t>
    <phoneticPr fontId="1" type="noConversion"/>
  </si>
  <si>
    <t>BS1571</t>
  </si>
  <si>
    <t>진성준</t>
    <phoneticPr fontId="1" type="noConversion"/>
  </si>
  <si>
    <t>상품코드</t>
    <phoneticPr fontId="1" type="noConversion"/>
  </si>
  <si>
    <t>일정</t>
    <phoneticPr fontId="1" type="noConversion"/>
  </si>
  <si>
    <t>최소출발인원</t>
    <phoneticPr fontId="1" type="noConversion"/>
  </si>
  <si>
    <t>예약인원</t>
    <phoneticPr fontId="1" type="noConversion"/>
  </si>
  <si>
    <t>예약률</t>
    <phoneticPr fontId="1" type="noConversion"/>
  </si>
  <si>
    <t>mk865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</si>
</sst>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&quot;월&quot;\ d&quot;일&quot;;@"/>
    <numFmt numFmtId="177" formatCode="#,##0_ 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u/>
      <sz val="18"/>
      <color theme="1"/>
      <name val="궁서체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1" fontId="0" fillId="0" borderId="0" xfId="1" applyFont="1">
      <alignment vertical="center"/>
    </xf>
    <xf numFmtId="41" fontId="0" fillId="0" borderId="1" xfId="1" applyFont="1" applyBorder="1" applyAlignment="1">
      <alignment horizontal="center" vertical="center"/>
    </xf>
    <xf numFmtId="177" fontId="0" fillId="0" borderId="1" xfId="1" applyNumberFormat="1" applyFont="1" applyBorder="1" applyAlignment="1">
      <alignment horizontal="right" vertical="center"/>
    </xf>
    <xf numFmtId="0" fontId="7" fillId="0" borderId="0" xfId="2" applyFont="1">
      <alignment vertical="center"/>
    </xf>
    <xf numFmtId="0" fontId="8" fillId="0" borderId="0" xfId="2" applyFont="1">
      <alignment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 2" xfId="2" xr:uid="{ECA9CD03-E032-4A6B-A6D5-23B65AA28AB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연도별 회원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2022년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  <c:pt idx="4">
                  <c:v>합계</c:v>
                </c:pt>
              </c:strCache>
            </c:strRef>
          </c:cat>
          <c:val>
            <c:numRef>
              <c:f>차트작업!$B$4:$B$8</c:f>
              <c:numCache>
                <c:formatCode>#,##0_ </c:formatCode>
                <c:ptCount val="5"/>
                <c:pt idx="0">
                  <c:v>1569</c:v>
                </c:pt>
                <c:pt idx="1">
                  <c:v>2635</c:v>
                </c:pt>
                <c:pt idx="2">
                  <c:v>3651</c:v>
                </c:pt>
                <c:pt idx="3">
                  <c:v>1589</c:v>
                </c:pt>
                <c:pt idx="4">
                  <c:v>9444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5-4CD2-8B49-542EFA2623E6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  <c:pt idx="4">
                  <c:v>합계</c:v>
                </c:pt>
              </c:strCache>
            </c:strRef>
          </c:cat>
          <c:val>
            <c:numRef>
              <c:f>차트작업!$C$4:$C$8</c:f>
              <c:numCache>
                <c:formatCode>#,##0_ </c:formatCode>
                <c:ptCount val="5"/>
                <c:pt idx="0">
                  <c:v>1725</c:v>
                </c:pt>
                <c:pt idx="1">
                  <c:v>2538</c:v>
                </c:pt>
                <c:pt idx="2">
                  <c:v>3867</c:v>
                </c:pt>
                <c:pt idx="3">
                  <c:v>1736</c:v>
                </c:pt>
                <c:pt idx="4">
                  <c:v>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C5-4CD2-8B49-542EFA2623E6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  <c:pt idx="4">
                  <c:v>합계</c:v>
                </c:pt>
              </c:strCache>
            </c:strRef>
          </c:cat>
          <c:val>
            <c:numRef>
              <c:f>차트작업!$D$4:$D$8</c:f>
              <c:numCache>
                <c:formatCode>#,##0_ </c:formatCode>
                <c:ptCount val="5"/>
                <c:pt idx="0">
                  <c:v>1837</c:v>
                </c:pt>
                <c:pt idx="1">
                  <c:v>2724</c:v>
                </c:pt>
                <c:pt idx="2">
                  <c:v>4055</c:v>
                </c:pt>
                <c:pt idx="3">
                  <c:v>1678</c:v>
                </c:pt>
                <c:pt idx="4">
                  <c:v>10294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C5-4CD2-8B49-542EFA2623E6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2025년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  <c:pt idx="4">
                  <c:v>합계</c:v>
                </c:pt>
              </c:strCache>
            </c:strRef>
          </c:cat>
          <c:val>
            <c:numRef>
              <c:f>차트작업!$E$4:$E$8</c:f>
              <c:numCache>
                <c:formatCode>#,##0_ </c:formatCode>
                <c:ptCount val="5"/>
                <c:pt idx="0">
                  <c:v>2169</c:v>
                </c:pt>
                <c:pt idx="1">
                  <c:v>3027</c:v>
                </c:pt>
                <c:pt idx="2">
                  <c:v>4191</c:v>
                </c:pt>
                <c:pt idx="3">
                  <c:v>1983</c:v>
                </c:pt>
                <c:pt idx="4">
                  <c:v>11370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C5-4CD2-8B49-542EFA262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8525952"/>
        <c:axId val="1108527872"/>
      </c:barChart>
      <c:catAx>
        <c:axId val="11085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7872"/>
        <c:crosses val="autoZero"/>
        <c:auto val="1"/>
        <c:lblAlgn val="ctr"/>
        <c:lblOffset val="100"/>
        <c:noMultiLvlLbl val="0"/>
      </c:catAx>
      <c:valAx>
        <c:axId val="11085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BC865E9-A93D-4405-AFD1-7405256E2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35F0-5880-4C90-B150-D6D0709DD283}">
  <sheetPr codeName="Sheet1"/>
  <dimension ref="A1:G9"/>
  <sheetViews>
    <sheetView tabSelected="1" workbookViewId="0">
      <selection activeCell="A4" sqref="A4"/>
    </sheetView>
  </sheetViews>
  <sheetFormatPr defaultRowHeight="16.5" x14ac:dyDescent="0.3"/>
  <cols>
    <col min="1" max="1" width="25.5" bestFit="1" customWidth="1"/>
    <col min="2" max="2" width="12.375" bestFit="1" customWidth="1"/>
    <col min="3" max="3" width="9.5" bestFit="1" customWidth="1"/>
    <col min="4" max="4" width="12.375" bestFit="1" customWidth="1"/>
  </cols>
  <sheetData>
    <row r="1" spans="1:7" ht="22.5" x14ac:dyDescent="0.3">
      <c r="A1" s="22" t="s">
        <v>1</v>
      </c>
      <c r="B1" s="22"/>
      <c r="C1" s="22"/>
      <c r="D1" s="22"/>
      <c r="E1" s="22"/>
      <c r="F1" s="22"/>
      <c r="G1" s="22"/>
    </row>
    <row r="3" spans="1:7" x14ac:dyDescent="0.3">
      <c r="A3" s="1" t="s">
        <v>240</v>
      </c>
      <c r="B3" s="1" t="s">
        <v>0</v>
      </c>
      <c r="C3" s="1" t="s">
        <v>241</v>
      </c>
      <c r="D3" s="1" t="s">
        <v>242</v>
      </c>
      <c r="E3" s="1" t="s">
        <v>243</v>
      </c>
      <c r="F3" s="1" t="s">
        <v>244</v>
      </c>
    </row>
    <row r="4" spans="1:7" x14ac:dyDescent="0.3">
      <c r="A4" s="1" t="s">
        <v>245</v>
      </c>
      <c r="B4" s="1"/>
      <c r="C4" s="1"/>
      <c r="D4" s="1"/>
      <c r="E4" s="1"/>
      <c r="F4" s="2"/>
    </row>
    <row r="5" spans="1:7" x14ac:dyDescent="0.3">
      <c r="A5" s="1"/>
      <c r="B5" s="1"/>
      <c r="C5" s="1"/>
      <c r="D5" s="1"/>
      <c r="E5" s="1"/>
      <c r="F5" s="2"/>
    </row>
    <row r="6" spans="1:7" x14ac:dyDescent="0.3">
      <c r="A6" s="1"/>
      <c r="B6" s="1"/>
      <c r="C6" s="1"/>
      <c r="D6" s="1"/>
      <c r="E6" s="1"/>
      <c r="F6" s="2"/>
    </row>
    <row r="7" spans="1:7" x14ac:dyDescent="0.3">
      <c r="A7" s="1"/>
      <c r="B7" s="1"/>
      <c r="C7" s="1"/>
      <c r="D7" s="1"/>
      <c r="E7" s="1"/>
      <c r="F7" s="2"/>
    </row>
    <row r="8" spans="1:7" x14ac:dyDescent="0.3">
      <c r="A8" s="1"/>
      <c r="B8" s="1"/>
      <c r="C8" s="1"/>
      <c r="D8" s="1"/>
      <c r="E8" s="1"/>
      <c r="F8" s="2"/>
    </row>
    <row r="9" spans="1:7" x14ac:dyDescent="0.3">
      <c r="A9" s="1"/>
      <c r="B9" s="1"/>
      <c r="C9" s="1"/>
      <c r="D9" s="1"/>
      <c r="E9" s="1"/>
      <c r="F9" s="2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14F04-5831-4A1F-9EFE-35DF97DDB53F}">
  <dimension ref="A1:G12"/>
  <sheetViews>
    <sheetView workbookViewId="0"/>
  </sheetViews>
  <sheetFormatPr defaultRowHeight="16.5" x14ac:dyDescent="0.3"/>
  <cols>
    <col min="2" max="2" width="14.375" bestFit="1" customWidth="1"/>
    <col min="3" max="3" width="10.75" bestFit="1" customWidth="1"/>
    <col min="7" max="7" width="10.125" bestFit="1" customWidth="1"/>
  </cols>
  <sheetData>
    <row r="1" spans="1:7" x14ac:dyDescent="0.3">
      <c r="A1" t="s">
        <v>16</v>
      </c>
    </row>
    <row r="3" spans="1:7" x14ac:dyDescent="0.3">
      <c r="A3" s="8" t="s">
        <v>17</v>
      </c>
      <c r="B3" s="8" t="s">
        <v>0</v>
      </c>
      <c r="C3" s="8" t="s">
        <v>18</v>
      </c>
      <c r="D3" s="8" t="s">
        <v>19</v>
      </c>
      <c r="E3" s="8" t="s">
        <v>20</v>
      </c>
      <c r="F3" s="8" t="s">
        <v>21</v>
      </c>
      <c r="G3" s="8" t="s">
        <v>22</v>
      </c>
    </row>
    <row r="4" spans="1:7" x14ac:dyDescent="0.3">
      <c r="A4" t="s">
        <v>23</v>
      </c>
      <c r="B4" s="1" t="s">
        <v>24</v>
      </c>
      <c r="C4" s="9">
        <v>45783</v>
      </c>
      <c r="D4" s="1" t="s">
        <v>25</v>
      </c>
      <c r="E4">
        <v>11500</v>
      </c>
      <c r="F4" s="10">
        <v>1382</v>
      </c>
      <c r="G4">
        <f t="shared" ref="G4:G12" si="0">E4*F4</f>
        <v>15893000</v>
      </c>
    </row>
    <row r="5" spans="1:7" x14ac:dyDescent="0.3">
      <c r="B5" s="1" t="s">
        <v>26</v>
      </c>
      <c r="C5" s="9">
        <v>45945</v>
      </c>
      <c r="D5" s="1" t="s">
        <v>27</v>
      </c>
      <c r="E5">
        <v>14200</v>
      </c>
      <c r="F5" s="10">
        <v>1237</v>
      </c>
      <c r="G5">
        <f t="shared" si="0"/>
        <v>17565400</v>
      </c>
    </row>
    <row r="6" spans="1:7" x14ac:dyDescent="0.3">
      <c r="B6" s="1" t="s">
        <v>28</v>
      </c>
      <c r="C6" s="9">
        <v>45924</v>
      </c>
      <c r="D6" s="1" t="s">
        <v>29</v>
      </c>
      <c r="E6">
        <v>9500</v>
      </c>
      <c r="F6" s="10">
        <v>1186</v>
      </c>
      <c r="G6">
        <f t="shared" si="0"/>
        <v>11267000</v>
      </c>
    </row>
    <row r="7" spans="1:7" x14ac:dyDescent="0.3">
      <c r="B7" s="1" t="s">
        <v>30</v>
      </c>
      <c r="C7" s="9">
        <v>45752</v>
      </c>
      <c r="D7" s="1" t="s">
        <v>31</v>
      </c>
      <c r="E7">
        <v>11300</v>
      </c>
      <c r="F7" s="10">
        <v>1562</v>
      </c>
      <c r="G7">
        <f t="shared" si="0"/>
        <v>17650600</v>
      </c>
    </row>
    <row r="8" spans="1:7" x14ac:dyDescent="0.3">
      <c r="B8" s="1" t="s">
        <v>32</v>
      </c>
      <c r="C8" s="9">
        <v>45856</v>
      </c>
      <c r="D8" s="1" t="s">
        <v>33</v>
      </c>
      <c r="E8">
        <v>12400</v>
      </c>
      <c r="F8" s="10">
        <v>1739</v>
      </c>
      <c r="G8">
        <f t="shared" si="0"/>
        <v>21563600</v>
      </c>
    </row>
    <row r="9" spans="1:7" x14ac:dyDescent="0.3">
      <c r="A9" t="s">
        <v>34</v>
      </c>
      <c r="B9" s="1" t="s">
        <v>35</v>
      </c>
      <c r="C9" s="9">
        <v>45907</v>
      </c>
      <c r="D9" s="1" t="s">
        <v>36</v>
      </c>
      <c r="E9">
        <v>15000</v>
      </c>
      <c r="F9" s="10">
        <v>1503</v>
      </c>
      <c r="G9">
        <f t="shared" si="0"/>
        <v>22545000</v>
      </c>
    </row>
    <row r="10" spans="1:7" x14ac:dyDescent="0.3">
      <c r="B10" s="1" t="s">
        <v>37</v>
      </c>
      <c r="C10" s="9">
        <v>45737</v>
      </c>
      <c r="D10" s="1" t="s">
        <v>38</v>
      </c>
      <c r="E10">
        <v>12300</v>
      </c>
      <c r="F10" s="10">
        <v>1495</v>
      </c>
      <c r="G10">
        <f t="shared" si="0"/>
        <v>18388500</v>
      </c>
    </row>
    <row r="11" spans="1:7" x14ac:dyDescent="0.3">
      <c r="A11" t="s">
        <v>39</v>
      </c>
      <c r="B11" s="1" t="s">
        <v>40</v>
      </c>
      <c r="C11" s="9">
        <v>45838</v>
      </c>
      <c r="D11" s="1" t="s">
        <v>41</v>
      </c>
      <c r="E11">
        <v>10600</v>
      </c>
      <c r="F11" s="10">
        <v>1684</v>
      </c>
      <c r="G11">
        <f t="shared" si="0"/>
        <v>17850400</v>
      </c>
    </row>
    <row r="12" spans="1:7" x14ac:dyDescent="0.3">
      <c r="B12" s="1" t="s">
        <v>42</v>
      </c>
      <c r="C12" s="9">
        <v>45799</v>
      </c>
      <c r="D12" s="1" t="s">
        <v>43</v>
      </c>
      <c r="E12">
        <v>13500</v>
      </c>
      <c r="F12" s="10">
        <v>1337</v>
      </c>
      <c r="G12">
        <f t="shared" si="0"/>
        <v>18049500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7A1C-EC6C-4251-B017-DFDD5094AAC6}">
  <dimension ref="A1:F15"/>
  <sheetViews>
    <sheetView workbookViewId="0">
      <selection sqref="A1:F1"/>
    </sheetView>
  </sheetViews>
  <sheetFormatPr defaultRowHeight="16.5" x14ac:dyDescent="0.3"/>
  <cols>
    <col min="1" max="1" width="11.625" customWidth="1"/>
    <col min="2" max="2" width="12.625" customWidth="1"/>
    <col min="6" max="6" width="13.625" customWidth="1"/>
  </cols>
  <sheetData>
    <row r="1" spans="1:6" ht="20.25" x14ac:dyDescent="0.3">
      <c r="A1" s="15" t="s">
        <v>44</v>
      </c>
      <c r="B1" s="15"/>
      <c r="C1" s="15"/>
      <c r="D1" s="15"/>
      <c r="E1" s="15"/>
      <c r="F1" s="15"/>
    </row>
    <row r="3" spans="1:6" x14ac:dyDescent="0.3">
      <c r="A3" s="5" t="s">
        <v>45</v>
      </c>
      <c r="B3" s="5" t="s">
        <v>46</v>
      </c>
      <c r="C3" s="5" t="s">
        <v>47</v>
      </c>
      <c r="D3" s="5" t="s">
        <v>21</v>
      </c>
      <c r="E3" s="5" t="s">
        <v>20</v>
      </c>
      <c r="F3" s="5" t="s">
        <v>48</v>
      </c>
    </row>
    <row r="4" spans="1:6" x14ac:dyDescent="0.3">
      <c r="A4" s="5" t="s">
        <v>49</v>
      </c>
      <c r="B4" s="7">
        <v>45748</v>
      </c>
      <c r="C4" s="11">
        <v>1000</v>
      </c>
      <c r="D4" s="11">
        <v>836</v>
      </c>
      <c r="E4" s="11">
        <v>4200</v>
      </c>
      <c r="F4" s="11">
        <f>D4*E4</f>
        <v>3511200</v>
      </c>
    </row>
    <row r="5" spans="1:6" x14ac:dyDescent="0.3">
      <c r="A5" s="5" t="s">
        <v>50</v>
      </c>
      <c r="B5" s="7">
        <v>45749</v>
      </c>
      <c r="C5" s="11">
        <v>650</v>
      </c>
      <c r="D5" s="11">
        <v>524</v>
      </c>
      <c r="E5" s="11">
        <v>9900</v>
      </c>
      <c r="F5" s="11">
        <f t="shared" ref="F5:F15" si="0">D5*E5</f>
        <v>5187600</v>
      </c>
    </row>
    <row r="6" spans="1:6" x14ac:dyDescent="0.3">
      <c r="A6" s="5" t="s">
        <v>51</v>
      </c>
      <c r="B6" s="7">
        <v>45750</v>
      </c>
      <c r="C6" s="11">
        <v>400</v>
      </c>
      <c r="D6" s="11">
        <v>392</v>
      </c>
      <c r="E6" s="11">
        <v>12000</v>
      </c>
      <c r="F6" s="11">
        <f t="shared" si="0"/>
        <v>4704000</v>
      </c>
    </row>
    <row r="7" spans="1:6" x14ac:dyDescent="0.3">
      <c r="A7" s="5" t="s">
        <v>52</v>
      </c>
      <c r="B7" s="7">
        <v>45751</v>
      </c>
      <c r="C7" s="11">
        <v>1550</v>
      </c>
      <c r="D7" s="11">
        <v>1499</v>
      </c>
      <c r="E7" s="11">
        <v>7000</v>
      </c>
      <c r="F7" s="11">
        <f t="shared" si="0"/>
        <v>10493000</v>
      </c>
    </row>
    <row r="8" spans="1:6" x14ac:dyDescent="0.3">
      <c r="A8" s="5" t="s">
        <v>53</v>
      </c>
      <c r="B8" s="7">
        <v>45752</v>
      </c>
      <c r="C8" s="11">
        <v>300</v>
      </c>
      <c r="D8" s="11">
        <v>236</v>
      </c>
      <c r="E8" s="11">
        <v>11500</v>
      </c>
      <c r="F8" s="11">
        <f t="shared" si="0"/>
        <v>2714000</v>
      </c>
    </row>
    <row r="9" spans="1:6" x14ac:dyDescent="0.3">
      <c r="A9" s="5" t="s">
        <v>54</v>
      </c>
      <c r="B9" s="7">
        <v>45753</v>
      </c>
      <c r="C9" s="11">
        <v>800</v>
      </c>
      <c r="D9" s="11">
        <v>786</v>
      </c>
      <c r="E9" s="11">
        <v>4480</v>
      </c>
      <c r="F9" s="11">
        <f t="shared" si="0"/>
        <v>3521280</v>
      </c>
    </row>
    <row r="10" spans="1:6" x14ac:dyDescent="0.3">
      <c r="A10" s="5" t="s">
        <v>55</v>
      </c>
      <c r="B10" s="7">
        <v>45754</v>
      </c>
      <c r="C10" s="11">
        <v>250</v>
      </c>
      <c r="D10" s="11">
        <v>192</v>
      </c>
      <c r="E10" s="11">
        <v>13600</v>
      </c>
      <c r="F10" s="11">
        <f t="shared" si="0"/>
        <v>2611200</v>
      </c>
    </row>
    <row r="11" spans="1:6" x14ac:dyDescent="0.3">
      <c r="A11" s="5" t="s">
        <v>56</v>
      </c>
      <c r="B11" s="7">
        <v>45755</v>
      </c>
      <c r="C11" s="11">
        <v>150</v>
      </c>
      <c r="D11" s="11">
        <v>106</v>
      </c>
      <c r="E11" s="11">
        <v>23500</v>
      </c>
      <c r="F11" s="11">
        <f t="shared" si="0"/>
        <v>2491000</v>
      </c>
    </row>
    <row r="12" spans="1:6" x14ac:dyDescent="0.3">
      <c r="A12" s="5" t="s">
        <v>57</v>
      </c>
      <c r="B12" s="7">
        <v>45756</v>
      </c>
      <c r="C12" s="11">
        <v>200</v>
      </c>
      <c r="D12" s="11">
        <v>149</v>
      </c>
      <c r="E12" s="11">
        <v>32600</v>
      </c>
      <c r="F12" s="11">
        <f t="shared" si="0"/>
        <v>4857400</v>
      </c>
    </row>
    <row r="13" spans="1:6" x14ac:dyDescent="0.3">
      <c r="A13" s="5" t="s">
        <v>58</v>
      </c>
      <c r="B13" s="7">
        <v>45757</v>
      </c>
      <c r="C13" s="11">
        <v>300</v>
      </c>
      <c r="D13" s="11">
        <v>276</v>
      </c>
      <c r="E13" s="11">
        <v>15900</v>
      </c>
      <c r="F13" s="11">
        <f t="shared" si="0"/>
        <v>4388400</v>
      </c>
    </row>
    <row r="14" spans="1:6" x14ac:dyDescent="0.3">
      <c r="A14" s="5" t="s">
        <v>59</v>
      </c>
      <c r="B14" s="7">
        <v>45758</v>
      </c>
      <c r="C14" s="11">
        <v>450</v>
      </c>
      <c r="D14" s="11">
        <v>429</v>
      </c>
      <c r="E14" s="11">
        <v>9800</v>
      </c>
      <c r="F14" s="11">
        <f t="shared" si="0"/>
        <v>4204200</v>
      </c>
    </row>
    <row r="15" spans="1:6" x14ac:dyDescent="0.3">
      <c r="A15" s="5" t="s">
        <v>60</v>
      </c>
      <c r="B15" s="7">
        <v>45759</v>
      </c>
      <c r="C15" s="11">
        <v>350</v>
      </c>
      <c r="D15" s="11">
        <v>331</v>
      </c>
      <c r="E15" s="11">
        <v>11600</v>
      </c>
      <c r="F15" s="11">
        <f t="shared" si="0"/>
        <v>3839600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A6624-6EC6-48C4-AAFF-06DF99CC4C16}">
  <dimension ref="A1:K34"/>
  <sheetViews>
    <sheetView workbookViewId="0"/>
  </sheetViews>
  <sheetFormatPr defaultRowHeight="16.5" x14ac:dyDescent="0.3"/>
  <cols>
    <col min="2" max="2" width="10.75" bestFit="1" customWidth="1"/>
    <col min="4" max="4" width="12.375" bestFit="1" customWidth="1"/>
    <col min="5" max="5" width="8.625" customWidth="1"/>
    <col min="10" max="11" width="10.125" customWidth="1"/>
  </cols>
  <sheetData>
    <row r="1" spans="1:11" x14ac:dyDescent="0.3">
      <c r="A1" s="3" t="s">
        <v>2</v>
      </c>
      <c r="B1" s="4" t="s">
        <v>6</v>
      </c>
      <c r="F1" s="3" t="s">
        <v>138</v>
      </c>
      <c r="G1" s="4" t="s">
        <v>139</v>
      </c>
    </row>
    <row r="2" spans="1:11" x14ac:dyDescent="0.3">
      <c r="A2" s="5" t="s">
        <v>7</v>
      </c>
      <c r="B2" s="5" t="s">
        <v>3</v>
      </c>
      <c r="C2" s="5" t="s">
        <v>4</v>
      </c>
      <c r="D2" s="6" t="s">
        <v>5</v>
      </c>
      <c r="F2" s="5" t="s">
        <v>140</v>
      </c>
      <c r="G2" s="5" t="s">
        <v>141</v>
      </c>
      <c r="H2" s="5" t="s">
        <v>142</v>
      </c>
      <c r="J2" s="16" t="s">
        <v>143</v>
      </c>
      <c r="K2" s="17"/>
    </row>
    <row r="3" spans="1:11" x14ac:dyDescent="0.3">
      <c r="A3" s="5" t="s">
        <v>8</v>
      </c>
      <c r="B3" s="7">
        <v>45874</v>
      </c>
      <c r="C3" s="5">
        <v>5</v>
      </c>
      <c r="D3" s="7"/>
      <c r="F3" s="5" t="s">
        <v>144</v>
      </c>
      <c r="G3" s="5" t="s">
        <v>145</v>
      </c>
      <c r="H3" s="5">
        <v>84</v>
      </c>
      <c r="J3" s="18"/>
      <c r="K3" s="19"/>
    </row>
    <row r="4" spans="1:11" x14ac:dyDescent="0.3">
      <c r="A4" s="5" t="s">
        <v>9</v>
      </c>
      <c r="B4" s="7">
        <v>45875</v>
      </c>
      <c r="C4" s="5">
        <v>3</v>
      </c>
      <c r="D4" s="7"/>
      <c r="F4" s="5" t="s">
        <v>146</v>
      </c>
      <c r="G4" s="5" t="s">
        <v>147</v>
      </c>
      <c r="H4" s="5">
        <v>91</v>
      </c>
    </row>
    <row r="5" spans="1:11" x14ac:dyDescent="0.3">
      <c r="A5" s="5" t="s">
        <v>10</v>
      </c>
      <c r="B5" s="7">
        <v>45877</v>
      </c>
      <c r="C5" s="5">
        <v>6</v>
      </c>
      <c r="D5" s="7"/>
      <c r="F5" s="5" t="s">
        <v>148</v>
      </c>
      <c r="G5" s="5" t="s">
        <v>149</v>
      </c>
      <c r="H5" s="5">
        <v>62</v>
      </c>
    </row>
    <row r="6" spans="1:11" x14ac:dyDescent="0.3">
      <c r="A6" s="5" t="s">
        <v>11</v>
      </c>
      <c r="B6" s="7">
        <v>45878</v>
      </c>
      <c r="C6" s="5">
        <v>4</v>
      </c>
      <c r="D6" s="7"/>
      <c r="F6" s="5" t="s">
        <v>150</v>
      </c>
      <c r="G6" s="5" t="s">
        <v>149</v>
      </c>
      <c r="H6" s="5">
        <v>71</v>
      </c>
    </row>
    <row r="7" spans="1:11" x14ac:dyDescent="0.3">
      <c r="A7" s="5" t="s">
        <v>12</v>
      </c>
      <c r="B7" s="7">
        <v>45882</v>
      </c>
      <c r="C7" s="5">
        <v>3</v>
      </c>
      <c r="D7" s="7"/>
      <c r="F7" s="5" t="s">
        <v>151</v>
      </c>
      <c r="G7" s="5" t="s">
        <v>147</v>
      </c>
      <c r="H7" s="5">
        <v>88</v>
      </c>
    </row>
    <row r="8" spans="1:11" x14ac:dyDescent="0.3">
      <c r="A8" s="5" t="s">
        <v>13</v>
      </c>
      <c r="B8" s="7">
        <v>45885</v>
      </c>
      <c r="C8" s="5">
        <v>4</v>
      </c>
      <c r="D8" s="7"/>
      <c r="F8" s="5" t="s">
        <v>152</v>
      </c>
      <c r="G8" s="5" t="s">
        <v>145</v>
      </c>
      <c r="H8" s="5">
        <v>93</v>
      </c>
      <c r="J8" s="20" t="s">
        <v>153</v>
      </c>
      <c r="K8" s="20"/>
    </row>
    <row r="9" spans="1:11" x14ac:dyDescent="0.3">
      <c r="A9" s="5" t="s">
        <v>14</v>
      </c>
      <c r="B9" s="7">
        <v>45889</v>
      </c>
      <c r="C9" s="5">
        <v>6</v>
      </c>
      <c r="D9" s="7"/>
      <c r="F9" s="5" t="s">
        <v>154</v>
      </c>
      <c r="G9" s="5" t="s">
        <v>147</v>
      </c>
      <c r="H9" s="5">
        <v>68</v>
      </c>
      <c r="J9" s="5"/>
      <c r="K9" s="5"/>
    </row>
    <row r="10" spans="1:11" x14ac:dyDescent="0.3">
      <c r="A10" s="5" t="s">
        <v>15</v>
      </c>
      <c r="B10" s="7">
        <v>45891</v>
      </c>
      <c r="C10" s="5">
        <v>5</v>
      </c>
      <c r="D10" s="7"/>
      <c r="F10" s="5" t="s">
        <v>155</v>
      </c>
      <c r="G10" s="5" t="s">
        <v>145</v>
      </c>
      <c r="H10" s="5">
        <v>79</v>
      </c>
      <c r="J10" s="5"/>
      <c r="K10" s="5"/>
    </row>
    <row r="12" spans="1:11" x14ac:dyDescent="0.3">
      <c r="A12" s="13" t="s">
        <v>156</v>
      </c>
      <c r="B12" s="14" t="s">
        <v>157</v>
      </c>
      <c r="F12" s="3" t="s">
        <v>158</v>
      </c>
      <c r="G12" s="4" t="s">
        <v>159</v>
      </c>
    </row>
    <row r="13" spans="1:11" x14ac:dyDescent="0.3">
      <c r="A13" s="5" t="s">
        <v>160</v>
      </c>
      <c r="B13" s="5" t="s">
        <v>161</v>
      </c>
      <c r="C13" s="5" t="s">
        <v>162</v>
      </c>
      <c r="D13" s="6" t="s">
        <v>163</v>
      </c>
      <c r="F13" s="5" t="s">
        <v>164</v>
      </c>
      <c r="G13" s="5" t="s">
        <v>165</v>
      </c>
      <c r="H13" s="5" t="s">
        <v>166</v>
      </c>
      <c r="I13" s="5" t="s">
        <v>167</v>
      </c>
      <c r="J13" s="5" t="s">
        <v>168</v>
      </c>
    </row>
    <row r="14" spans="1:11" x14ac:dyDescent="0.3">
      <c r="A14" s="5" t="s">
        <v>169</v>
      </c>
      <c r="B14" s="7">
        <v>45755</v>
      </c>
      <c r="C14" s="5" t="s">
        <v>170</v>
      </c>
      <c r="D14" s="5"/>
      <c r="F14" s="5" t="s">
        <v>171</v>
      </c>
      <c r="G14" s="5">
        <v>33</v>
      </c>
      <c r="H14" s="11">
        <v>34400</v>
      </c>
      <c r="I14" s="5">
        <v>200</v>
      </c>
      <c r="J14" s="5" t="s">
        <v>172</v>
      </c>
    </row>
    <row r="15" spans="1:11" x14ac:dyDescent="0.3">
      <c r="A15" s="5" t="s">
        <v>173</v>
      </c>
      <c r="B15" s="7">
        <v>45757</v>
      </c>
      <c r="C15" s="5" t="s">
        <v>174</v>
      </c>
      <c r="D15" s="5"/>
      <c r="F15" s="5" t="s">
        <v>175</v>
      </c>
      <c r="G15" s="5">
        <v>11</v>
      </c>
      <c r="H15" s="11">
        <v>68200</v>
      </c>
      <c r="I15" s="5">
        <v>120</v>
      </c>
      <c r="J15" s="5" t="s">
        <v>172</v>
      </c>
    </row>
    <row r="16" spans="1:11" x14ac:dyDescent="0.3">
      <c r="A16" s="5" t="s">
        <v>176</v>
      </c>
      <c r="B16" s="7">
        <v>45758</v>
      </c>
      <c r="C16" s="5" t="s">
        <v>177</v>
      </c>
      <c r="D16" s="5"/>
      <c r="F16" s="5" t="s">
        <v>178</v>
      </c>
      <c r="G16" s="5">
        <v>33</v>
      </c>
      <c r="H16" s="11">
        <v>22800</v>
      </c>
      <c r="I16" s="5">
        <v>240</v>
      </c>
      <c r="J16" s="5" t="s">
        <v>172</v>
      </c>
    </row>
    <row r="17" spans="1:10" x14ac:dyDescent="0.3">
      <c r="A17" s="5" t="s">
        <v>179</v>
      </c>
      <c r="B17" s="7">
        <v>45758</v>
      </c>
      <c r="C17" s="5" t="s">
        <v>180</v>
      </c>
      <c r="D17" s="5"/>
      <c r="F17" s="5" t="s">
        <v>181</v>
      </c>
      <c r="G17" s="5">
        <v>22</v>
      </c>
      <c r="H17" s="11">
        <v>15000</v>
      </c>
      <c r="I17" s="5">
        <v>100</v>
      </c>
      <c r="J17" s="5" t="s">
        <v>182</v>
      </c>
    </row>
    <row r="18" spans="1:10" x14ac:dyDescent="0.3">
      <c r="A18" s="5" t="s">
        <v>183</v>
      </c>
      <c r="B18" s="7">
        <v>45763</v>
      </c>
      <c r="C18" s="5" t="s">
        <v>184</v>
      </c>
      <c r="D18" s="5"/>
      <c r="F18" s="5" t="s">
        <v>185</v>
      </c>
      <c r="G18" s="5">
        <v>11</v>
      </c>
      <c r="H18" s="11">
        <v>31000</v>
      </c>
      <c r="I18" s="5">
        <v>300</v>
      </c>
      <c r="J18" s="5" t="s">
        <v>182</v>
      </c>
    </row>
    <row r="19" spans="1:10" x14ac:dyDescent="0.3">
      <c r="A19" s="5" t="s">
        <v>186</v>
      </c>
      <c r="B19" s="7">
        <v>45765</v>
      </c>
      <c r="C19" s="5" t="s">
        <v>187</v>
      </c>
      <c r="D19" s="5"/>
      <c r="F19" s="5" t="s">
        <v>188</v>
      </c>
      <c r="G19" s="5">
        <v>22</v>
      </c>
      <c r="H19" s="11">
        <v>29400</v>
      </c>
      <c r="I19" s="5">
        <v>140</v>
      </c>
      <c r="J19" s="5" t="s">
        <v>182</v>
      </c>
    </row>
    <row r="20" spans="1:10" x14ac:dyDescent="0.3">
      <c r="A20" s="5" t="s">
        <v>189</v>
      </c>
      <c r="B20" s="7">
        <v>45765</v>
      </c>
      <c r="C20" s="5" t="s">
        <v>190</v>
      </c>
      <c r="D20" s="5"/>
      <c r="F20" s="5" t="s">
        <v>191</v>
      </c>
      <c r="G20" s="5">
        <v>33</v>
      </c>
      <c r="H20" s="11">
        <v>30100</v>
      </c>
      <c r="I20" s="5">
        <v>350</v>
      </c>
      <c r="J20" s="5" t="s">
        <v>182</v>
      </c>
    </row>
    <row r="21" spans="1:10" x14ac:dyDescent="0.3">
      <c r="A21" s="5" t="s">
        <v>192</v>
      </c>
      <c r="B21" s="7">
        <v>45769</v>
      </c>
      <c r="C21" s="5" t="s">
        <v>193</v>
      </c>
      <c r="D21" s="5"/>
      <c r="F21" s="5" t="s">
        <v>194</v>
      </c>
      <c r="G21" s="5">
        <v>33</v>
      </c>
      <c r="H21" s="11">
        <v>27600</v>
      </c>
      <c r="I21" s="5">
        <v>320</v>
      </c>
      <c r="J21" s="5" t="s">
        <v>195</v>
      </c>
    </row>
    <row r="22" spans="1:10" x14ac:dyDescent="0.3">
      <c r="A22" s="5" t="s">
        <v>196</v>
      </c>
      <c r="B22" s="7">
        <v>45771</v>
      </c>
      <c r="C22" s="5" t="s">
        <v>197</v>
      </c>
      <c r="D22" s="5"/>
      <c r="F22" s="5" t="s">
        <v>198</v>
      </c>
      <c r="G22" s="5">
        <v>22</v>
      </c>
      <c r="H22" s="11">
        <v>12800</v>
      </c>
      <c r="I22" s="5">
        <v>170</v>
      </c>
      <c r="J22" s="5" t="s">
        <v>195</v>
      </c>
    </row>
    <row r="23" spans="1:10" x14ac:dyDescent="0.3">
      <c r="A23" s="5" t="s">
        <v>199</v>
      </c>
      <c r="B23" s="7">
        <v>45771</v>
      </c>
      <c r="C23" s="5" t="s">
        <v>200</v>
      </c>
      <c r="D23" s="5"/>
      <c r="F23" s="16" t="s">
        <v>201</v>
      </c>
      <c r="G23" s="21"/>
      <c r="H23" s="21"/>
      <c r="I23" s="17"/>
      <c r="J23" s="5"/>
    </row>
    <row r="25" spans="1:10" x14ac:dyDescent="0.3">
      <c r="A25" s="3" t="s">
        <v>202</v>
      </c>
      <c r="B25" s="4" t="s">
        <v>203</v>
      </c>
    </row>
    <row r="26" spans="1:10" x14ac:dyDescent="0.3">
      <c r="A26" s="5" t="s">
        <v>204</v>
      </c>
      <c r="B26" s="5" t="s">
        <v>205</v>
      </c>
      <c r="C26" s="5" t="s">
        <v>206</v>
      </c>
      <c r="D26" s="6" t="s">
        <v>207</v>
      </c>
      <c r="F26" s="20" t="s">
        <v>208</v>
      </c>
      <c r="G26" s="20"/>
      <c r="H26" s="20"/>
    </row>
    <row r="27" spans="1:10" x14ac:dyDescent="0.3">
      <c r="A27" s="5" t="s">
        <v>209</v>
      </c>
      <c r="B27" s="5">
        <v>2023</v>
      </c>
      <c r="C27" s="5" t="s">
        <v>210</v>
      </c>
      <c r="D27" s="5"/>
      <c r="F27" s="5" t="s">
        <v>211</v>
      </c>
      <c r="G27" s="5" t="s">
        <v>212</v>
      </c>
      <c r="H27" s="5" t="s">
        <v>213</v>
      </c>
    </row>
    <row r="28" spans="1:10" x14ac:dyDescent="0.3">
      <c r="A28" s="5" t="s">
        <v>214</v>
      </c>
      <c r="B28" s="5">
        <v>2023</v>
      </c>
      <c r="C28" s="5" t="s">
        <v>215</v>
      </c>
      <c r="D28" s="5"/>
      <c r="F28" s="5" t="s">
        <v>216</v>
      </c>
      <c r="G28" s="5" t="s">
        <v>217</v>
      </c>
      <c r="H28" s="5" t="s">
        <v>218</v>
      </c>
    </row>
    <row r="29" spans="1:10" x14ac:dyDescent="0.3">
      <c r="A29" s="5" t="s">
        <v>219</v>
      </c>
      <c r="B29" s="5">
        <v>2024</v>
      </c>
      <c r="C29" s="5" t="s">
        <v>220</v>
      </c>
      <c r="D29" s="5"/>
      <c r="F29" s="5" t="s">
        <v>221</v>
      </c>
      <c r="G29" s="5" t="s">
        <v>222</v>
      </c>
      <c r="H29" s="5" t="s">
        <v>223</v>
      </c>
    </row>
    <row r="30" spans="1:10" x14ac:dyDescent="0.3">
      <c r="A30" s="5" t="s">
        <v>224</v>
      </c>
      <c r="B30" s="5">
        <v>2024</v>
      </c>
      <c r="C30" s="5" t="s">
        <v>225</v>
      </c>
      <c r="D30" s="5"/>
      <c r="F30" s="5" t="s">
        <v>226</v>
      </c>
      <c r="G30" s="5" t="s">
        <v>227</v>
      </c>
      <c r="H30" s="5" t="s">
        <v>228</v>
      </c>
    </row>
    <row r="31" spans="1:10" x14ac:dyDescent="0.3">
      <c r="A31" s="5" t="s">
        <v>229</v>
      </c>
      <c r="B31" s="5">
        <v>2024</v>
      </c>
      <c r="C31" s="5" t="s">
        <v>230</v>
      </c>
      <c r="D31" s="5"/>
      <c r="F31" s="5" t="s">
        <v>231</v>
      </c>
      <c r="G31" s="5" t="s">
        <v>232</v>
      </c>
      <c r="H31" s="5" t="s">
        <v>233</v>
      </c>
    </row>
    <row r="32" spans="1:10" x14ac:dyDescent="0.3">
      <c r="A32" s="5" t="s">
        <v>234</v>
      </c>
      <c r="B32" s="5">
        <v>2025</v>
      </c>
      <c r="C32" s="5" t="s">
        <v>235</v>
      </c>
      <c r="D32" s="5"/>
    </row>
    <row r="33" spans="1:4" x14ac:dyDescent="0.3">
      <c r="A33" s="5" t="s">
        <v>236</v>
      </c>
      <c r="B33" s="5">
        <v>2025</v>
      </c>
      <c r="C33" s="5" t="s">
        <v>237</v>
      </c>
      <c r="D33" s="5"/>
    </row>
    <row r="34" spans="1:4" x14ac:dyDescent="0.3">
      <c r="A34" s="5" t="s">
        <v>238</v>
      </c>
      <c r="B34" s="5">
        <v>2025</v>
      </c>
      <c r="C34" s="5" t="s">
        <v>239</v>
      </c>
      <c r="D34" s="5"/>
    </row>
  </sheetData>
  <mergeCells count="5">
    <mergeCell ref="J2:K2"/>
    <mergeCell ref="J3:K3"/>
    <mergeCell ref="J8:K8"/>
    <mergeCell ref="F23:I23"/>
    <mergeCell ref="F26:H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CF983-0D44-46BB-A315-35748445E0F0}">
  <dimension ref="A1:F15"/>
  <sheetViews>
    <sheetView workbookViewId="0">
      <selection sqref="A1:F1"/>
    </sheetView>
  </sheetViews>
  <sheetFormatPr defaultRowHeight="16.5" x14ac:dyDescent="0.3"/>
  <cols>
    <col min="3" max="6" width="13.125" customWidth="1"/>
  </cols>
  <sheetData>
    <row r="1" spans="1:6" ht="20.25" x14ac:dyDescent="0.3">
      <c r="A1" s="15" t="s">
        <v>61</v>
      </c>
      <c r="B1" s="15"/>
      <c r="C1" s="15"/>
      <c r="D1" s="15"/>
      <c r="E1" s="15"/>
      <c r="F1" s="15"/>
    </row>
    <row r="3" spans="1:6" x14ac:dyDescent="0.3">
      <c r="A3" s="5" t="s">
        <v>62</v>
      </c>
      <c r="B3" s="5" t="s">
        <v>63</v>
      </c>
      <c r="C3" s="5" t="s">
        <v>64</v>
      </c>
      <c r="D3" s="5" t="s">
        <v>65</v>
      </c>
      <c r="E3" s="5" t="s">
        <v>66</v>
      </c>
      <c r="F3" s="5" t="s">
        <v>67</v>
      </c>
    </row>
    <row r="4" spans="1:6" x14ac:dyDescent="0.3">
      <c r="A4" s="5" t="s">
        <v>68</v>
      </c>
      <c r="B4" s="5" t="s">
        <v>69</v>
      </c>
      <c r="C4" s="11">
        <v>49540000</v>
      </c>
      <c r="D4" s="11">
        <v>57970000</v>
      </c>
      <c r="E4" s="11">
        <v>51590000</v>
      </c>
      <c r="F4" s="11">
        <f>SUM(C4:E4)</f>
        <v>159100000</v>
      </c>
    </row>
    <row r="5" spans="1:6" x14ac:dyDescent="0.3">
      <c r="A5" s="5" t="s">
        <v>70</v>
      </c>
      <c r="B5" s="5" t="s">
        <v>71</v>
      </c>
      <c r="C5" s="11">
        <v>36720000</v>
      </c>
      <c r="D5" s="11">
        <v>34890000</v>
      </c>
      <c r="E5" s="11">
        <v>34190000</v>
      </c>
      <c r="F5" s="11">
        <f t="shared" ref="F5:F15" si="0">SUM(C5:E5)</f>
        <v>105800000</v>
      </c>
    </row>
    <row r="6" spans="1:6" x14ac:dyDescent="0.3">
      <c r="A6" s="5" t="s">
        <v>72</v>
      </c>
      <c r="B6" s="5" t="s">
        <v>73</v>
      </c>
      <c r="C6" s="11">
        <v>53610000</v>
      </c>
      <c r="D6" s="11">
        <v>70770000</v>
      </c>
      <c r="E6" s="11">
        <v>78550000</v>
      </c>
      <c r="F6" s="11">
        <f t="shared" si="0"/>
        <v>202930000</v>
      </c>
    </row>
    <row r="7" spans="1:6" x14ac:dyDescent="0.3">
      <c r="A7" s="5" t="s">
        <v>74</v>
      </c>
      <c r="B7" s="5" t="s">
        <v>71</v>
      </c>
      <c r="C7" s="11">
        <v>46300000</v>
      </c>
      <c r="D7" s="11">
        <v>51860000</v>
      </c>
      <c r="E7" s="11">
        <v>48220000</v>
      </c>
      <c r="F7" s="11">
        <f t="shared" si="0"/>
        <v>146380000</v>
      </c>
    </row>
    <row r="8" spans="1:6" x14ac:dyDescent="0.3">
      <c r="A8" s="5" t="s">
        <v>75</v>
      </c>
      <c r="B8" s="5" t="s">
        <v>71</v>
      </c>
      <c r="C8" s="11">
        <v>55040000</v>
      </c>
      <c r="D8" s="11">
        <v>59450000</v>
      </c>
      <c r="E8" s="11">
        <v>65740000</v>
      </c>
      <c r="F8" s="11">
        <f t="shared" si="0"/>
        <v>180230000</v>
      </c>
    </row>
    <row r="9" spans="1:6" x14ac:dyDescent="0.3">
      <c r="A9" s="5" t="s">
        <v>76</v>
      </c>
      <c r="B9" s="5" t="s">
        <v>69</v>
      </c>
      <c r="C9" s="11">
        <v>35000000</v>
      </c>
      <c r="D9" s="11">
        <v>26950000</v>
      </c>
      <c r="E9" s="11">
        <v>36200000</v>
      </c>
      <c r="F9" s="11">
        <f t="shared" si="0"/>
        <v>98150000</v>
      </c>
    </row>
    <row r="10" spans="1:6" x14ac:dyDescent="0.3">
      <c r="A10" s="5" t="s">
        <v>77</v>
      </c>
      <c r="B10" s="5" t="s">
        <v>69</v>
      </c>
      <c r="C10" s="11">
        <v>49350000</v>
      </c>
      <c r="D10" s="11">
        <v>45900000</v>
      </c>
      <c r="E10" s="11">
        <v>44980000</v>
      </c>
      <c r="F10" s="11">
        <f t="shared" si="0"/>
        <v>140230000</v>
      </c>
    </row>
    <row r="11" spans="1:6" x14ac:dyDescent="0.3">
      <c r="A11" s="5" t="s">
        <v>78</v>
      </c>
      <c r="B11" s="5" t="s">
        <v>73</v>
      </c>
      <c r="C11" s="11">
        <v>62800000</v>
      </c>
      <c r="D11" s="11">
        <v>76620000</v>
      </c>
      <c r="E11" s="11">
        <v>80410000</v>
      </c>
      <c r="F11" s="11">
        <f t="shared" si="0"/>
        <v>219830000</v>
      </c>
    </row>
    <row r="12" spans="1:6" x14ac:dyDescent="0.3">
      <c r="A12" s="5" t="s">
        <v>79</v>
      </c>
      <c r="B12" s="5" t="s">
        <v>73</v>
      </c>
      <c r="C12" s="11">
        <v>51650000</v>
      </c>
      <c r="D12" s="11">
        <v>49070000</v>
      </c>
      <c r="E12" s="11">
        <v>43580000</v>
      </c>
      <c r="F12" s="11">
        <f t="shared" si="0"/>
        <v>144300000</v>
      </c>
    </row>
    <row r="13" spans="1:6" x14ac:dyDescent="0.3">
      <c r="A13" s="5" t="s">
        <v>80</v>
      </c>
      <c r="B13" s="5" t="s">
        <v>69</v>
      </c>
      <c r="C13" s="11">
        <v>60420000</v>
      </c>
      <c r="D13" s="11">
        <v>67070000</v>
      </c>
      <c r="E13" s="11">
        <v>63710000</v>
      </c>
      <c r="F13" s="11">
        <f t="shared" si="0"/>
        <v>191200000</v>
      </c>
    </row>
    <row r="14" spans="1:6" x14ac:dyDescent="0.3">
      <c r="A14" s="5" t="s">
        <v>81</v>
      </c>
      <c r="B14" s="5" t="s">
        <v>71</v>
      </c>
      <c r="C14" s="11">
        <v>46050000</v>
      </c>
      <c r="D14" s="11">
        <v>38230000</v>
      </c>
      <c r="E14" s="11">
        <v>45870000</v>
      </c>
      <c r="F14" s="11">
        <f t="shared" si="0"/>
        <v>130150000</v>
      </c>
    </row>
    <row r="15" spans="1:6" x14ac:dyDescent="0.3">
      <c r="A15" s="5" t="s">
        <v>82</v>
      </c>
      <c r="B15" s="5" t="s">
        <v>73</v>
      </c>
      <c r="C15" s="11">
        <v>56930000</v>
      </c>
      <c r="D15" s="11">
        <v>72880000</v>
      </c>
      <c r="E15" s="11">
        <v>77420000</v>
      </c>
      <c r="F15" s="11">
        <f t="shared" si="0"/>
        <v>207230000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1E49-9C56-4A03-940B-0B80F290EBB2}">
  <dimension ref="A1:F15"/>
  <sheetViews>
    <sheetView workbookViewId="0">
      <selection sqref="A1:F1"/>
    </sheetView>
  </sheetViews>
  <sheetFormatPr defaultRowHeight="16.5" x14ac:dyDescent="0.3"/>
  <cols>
    <col min="1" max="1" width="11" bestFit="1" customWidth="1"/>
    <col min="3" max="3" width="11" bestFit="1" customWidth="1"/>
    <col min="5" max="5" width="10.875" bestFit="1" customWidth="1"/>
    <col min="6" max="6" width="11.875" bestFit="1" customWidth="1"/>
  </cols>
  <sheetData>
    <row r="1" spans="1:6" ht="20.25" x14ac:dyDescent="0.3">
      <c r="A1" s="15" t="s">
        <v>83</v>
      </c>
      <c r="B1" s="15"/>
      <c r="C1" s="15"/>
      <c r="D1" s="15"/>
      <c r="E1" s="15"/>
      <c r="F1" s="15"/>
    </row>
    <row r="3" spans="1:6" x14ac:dyDescent="0.3">
      <c r="A3" s="5" t="s">
        <v>84</v>
      </c>
      <c r="B3" s="5" t="s">
        <v>85</v>
      </c>
      <c r="C3" s="5" t="s">
        <v>86</v>
      </c>
      <c r="D3" s="5" t="s">
        <v>87</v>
      </c>
      <c r="E3" s="5" t="s">
        <v>88</v>
      </c>
      <c r="F3" s="5" t="s">
        <v>89</v>
      </c>
    </row>
    <row r="4" spans="1:6" x14ac:dyDescent="0.3">
      <c r="A4" s="5" t="s">
        <v>90</v>
      </c>
      <c r="B4" s="5" t="s">
        <v>91</v>
      </c>
      <c r="C4" s="5" t="s">
        <v>92</v>
      </c>
      <c r="D4" s="5">
        <v>28</v>
      </c>
      <c r="E4" s="11">
        <v>1056000</v>
      </c>
      <c r="F4" s="11">
        <f>D4*E4</f>
        <v>29568000</v>
      </c>
    </row>
    <row r="5" spans="1:6" x14ac:dyDescent="0.3">
      <c r="A5" s="5" t="s">
        <v>93</v>
      </c>
      <c r="B5" s="5" t="s">
        <v>94</v>
      </c>
      <c r="C5" s="5" t="s">
        <v>95</v>
      </c>
      <c r="D5" s="5">
        <v>35</v>
      </c>
      <c r="E5" s="11">
        <v>289000</v>
      </c>
      <c r="F5" s="11">
        <f t="shared" ref="F5:F15" si="0">D5*E5</f>
        <v>10115000</v>
      </c>
    </row>
    <row r="6" spans="1:6" x14ac:dyDescent="0.3">
      <c r="A6" s="5" t="s">
        <v>96</v>
      </c>
      <c r="B6" s="5" t="s">
        <v>91</v>
      </c>
      <c r="C6" s="5" t="s">
        <v>97</v>
      </c>
      <c r="D6" s="5">
        <v>19</v>
      </c>
      <c r="E6" s="11">
        <v>1950000</v>
      </c>
      <c r="F6" s="11">
        <f t="shared" si="0"/>
        <v>37050000</v>
      </c>
    </row>
    <row r="7" spans="1:6" x14ac:dyDescent="0.3">
      <c r="A7" s="5" t="s">
        <v>98</v>
      </c>
      <c r="B7" s="5" t="s">
        <v>99</v>
      </c>
      <c r="C7" s="5" t="s">
        <v>100</v>
      </c>
      <c r="D7" s="5">
        <v>61</v>
      </c>
      <c r="E7" s="11">
        <v>699000</v>
      </c>
      <c r="F7" s="11">
        <f t="shared" si="0"/>
        <v>42639000</v>
      </c>
    </row>
    <row r="8" spans="1:6" x14ac:dyDescent="0.3">
      <c r="A8" s="5" t="s">
        <v>90</v>
      </c>
      <c r="B8" s="5" t="s">
        <v>99</v>
      </c>
      <c r="C8" s="5" t="s">
        <v>101</v>
      </c>
      <c r="D8" s="5">
        <v>53</v>
      </c>
      <c r="E8" s="11">
        <v>1056000</v>
      </c>
      <c r="F8" s="11">
        <f t="shared" si="0"/>
        <v>55968000</v>
      </c>
    </row>
    <row r="9" spans="1:6" x14ac:dyDescent="0.3">
      <c r="A9" s="5" t="s">
        <v>102</v>
      </c>
      <c r="B9" s="5" t="s">
        <v>91</v>
      </c>
      <c r="C9" s="5" t="s">
        <v>103</v>
      </c>
      <c r="D9" s="5">
        <v>27</v>
      </c>
      <c r="E9" s="11">
        <v>376000</v>
      </c>
      <c r="F9" s="11">
        <f t="shared" si="0"/>
        <v>10152000</v>
      </c>
    </row>
    <row r="10" spans="1:6" x14ac:dyDescent="0.3">
      <c r="A10" s="5" t="s">
        <v>96</v>
      </c>
      <c r="B10" s="5" t="s">
        <v>99</v>
      </c>
      <c r="C10" s="5" t="s">
        <v>104</v>
      </c>
      <c r="D10" s="5">
        <v>22</v>
      </c>
      <c r="E10" s="11">
        <v>1950000</v>
      </c>
      <c r="F10" s="11">
        <f t="shared" si="0"/>
        <v>42900000</v>
      </c>
    </row>
    <row r="11" spans="1:6" x14ac:dyDescent="0.3">
      <c r="A11" s="5" t="s">
        <v>102</v>
      </c>
      <c r="B11" s="5" t="s">
        <v>94</v>
      </c>
      <c r="C11" s="5" t="s">
        <v>105</v>
      </c>
      <c r="D11" s="5">
        <v>15</v>
      </c>
      <c r="E11" s="11">
        <v>376000</v>
      </c>
      <c r="F11" s="11">
        <f t="shared" si="0"/>
        <v>5640000</v>
      </c>
    </row>
    <row r="12" spans="1:6" x14ac:dyDescent="0.3">
      <c r="A12" s="5" t="s">
        <v>90</v>
      </c>
      <c r="B12" s="5" t="s">
        <v>94</v>
      </c>
      <c r="C12" s="5" t="s">
        <v>106</v>
      </c>
      <c r="D12" s="5">
        <v>38</v>
      </c>
      <c r="E12" s="11">
        <v>1056000</v>
      </c>
      <c r="F12" s="11">
        <f t="shared" si="0"/>
        <v>40128000</v>
      </c>
    </row>
    <row r="13" spans="1:6" x14ac:dyDescent="0.3">
      <c r="A13" s="5" t="s">
        <v>93</v>
      </c>
      <c r="B13" s="5" t="s">
        <v>99</v>
      </c>
      <c r="C13" s="5" t="s">
        <v>107</v>
      </c>
      <c r="D13" s="5">
        <v>46</v>
      </c>
      <c r="E13" s="11">
        <v>289000</v>
      </c>
      <c r="F13" s="11">
        <f t="shared" si="0"/>
        <v>13294000</v>
      </c>
    </row>
    <row r="14" spans="1:6" x14ac:dyDescent="0.3">
      <c r="A14" s="5" t="s">
        <v>93</v>
      </c>
      <c r="B14" s="5" t="s">
        <v>91</v>
      </c>
      <c r="C14" s="5" t="s">
        <v>108</v>
      </c>
      <c r="D14" s="5">
        <v>62</v>
      </c>
      <c r="E14" s="11">
        <v>289000</v>
      </c>
      <c r="F14" s="11">
        <f t="shared" si="0"/>
        <v>17918000</v>
      </c>
    </row>
    <row r="15" spans="1:6" x14ac:dyDescent="0.3">
      <c r="A15" s="5" t="s">
        <v>98</v>
      </c>
      <c r="B15" s="5" t="s">
        <v>94</v>
      </c>
      <c r="C15" s="5" t="s">
        <v>109</v>
      </c>
      <c r="D15" s="5">
        <v>24</v>
      </c>
      <c r="E15" s="11">
        <v>699000</v>
      </c>
      <c r="F15" s="11">
        <f t="shared" si="0"/>
        <v>16776000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5CBA0-1C49-4664-8B1F-3DFF443FA585}">
  <dimension ref="A1:E11"/>
  <sheetViews>
    <sheetView workbookViewId="0">
      <selection sqref="A1:E1"/>
    </sheetView>
  </sheetViews>
  <sheetFormatPr defaultRowHeight="16.5" x14ac:dyDescent="0.3"/>
  <sheetData>
    <row r="1" spans="1:5" ht="20.25" x14ac:dyDescent="0.3">
      <c r="A1" s="15" t="s">
        <v>110</v>
      </c>
      <c r="B1" s="15"/>
      <c r="C1" s="15"/>
      <c r="D1" s="15"/>
      <c r="E1" s="15"/>
    </row>
    <row r="3" spans="1:5" x14ac:dyDescent="0.3">
      <c r="A3" s="5" t="s">
        <v>112</v>
      </c>
      <c r="B3" s="5" t="s">
        <v>118</v>
      </c>
      <c r="C3" s="5" t="s">
        <v>113</v>
      </c>
      <c r="D3" s="5" t="s">
        <v>111</v>
      </c>
      <c r="E3" s="5" t="s">
        <v>114</v>
      </c>
    </row>
    <row r="4" spans="1:5" x14ac:dyDescent="0.3">
      <c r="A4" s="5" t="s">
        <v>119</v>
      </c>
      <c r="B4" s="5" t="s">
        <v>115</v>
      </c>
      <c r="C4" s="5">
        <v>90</v>
      </c>
      <c r="D4" s="5">
        <v>88</v>
      </c>
      <c r="E4" s="5"/>
    </row>
    <row r="5" spans="1:5" x14ac:dyDescent="0.3">
      <c r="A5" s="5" t="s">
        <v>120</v>
      </c>
      <c r="B5" s="5" t="s">
        <v>116</v>
      </c>
      <c r="C5" s="5">
        <v>100</v>
      </c>
      <c r="D5" s="5">
        <v>59</v>
      </c>
      <c r="E5" s="5"/>
    </row>
    <row r="6" spans="1:5" x14ac:dyDescent="0.3">
      <c r="A6" s="5" t="s">
        <v>121</v>
      </c>
      <c r="B6" s="5" t="s">
        <v>117</v>
      </c>
      <c r="C6" s="5">
        <v>87</v>
      </c>
      <c r="D6" s="5">
        <v>95</v>
      </c>
      <c r="E6" s="5"/>
    </row>
    <row r="7" spans="1:5" x14ac:dyDescent="0.3">
      <c r="A7" s="5" t="s">
        <v>122</v>
      </c>
      <c r="B7" s="5" t="s">
        <v>116</v>
      </c>
      <c r="C7" s="5">
        <v>85</v>
      </c>
      <c r="D7" s="5">
        <v>82</v>
      </c>
      <c r="E7" s="5"/>
    </row>
    <row r="8" spans="1:5" x14ac:dyDescent="0.3">
      <c r="A8" s="5" t="s">
        <v>123</v>
      </c>
      <c r="B8" s="5" t="s">
        <v>115</v>
      </c>
      <c r="C8" s="5">
        <v>46</v>
      </c>
      <c r="D8" s="5">
        <v>75</v>
      </c>
      <c r="E8" s="5"/>
    </row>
    <row r="9" spans="1:5" x14ac:dyDescent="0.3">
      <c r="A9" s="5" t="s">
        <v>124</v>
      </c>
      <c r="B9" s="5" t="s">
        <v>117</v>
      </c>
      <c r="C9" s="5">
        <v>66</v>
      </c>
      <c r="D9" s="5">
        <v>59</v>
      </c>
      <c r="E9" s="5"/>
    </row>
    <row r="10" spans="1:5" x14ac:dyDescent="0.3">
      <c r="A10" s="5" t="s">
        <v>125</v>
      </c>
      <c r="B10" s="5" t="s">
        <v>115</v>
      </c>
      <c r="C10" s="5">
        <v>68</v>
      </c>
      <c r="D10" s="5">
        <v>88</v>
      </c>
      <c r="E10" s="5"/>
    </row>
    <row r="11" spans="1:5" x14ac:dyDescent="0.3">
      <c r="A11" s="5" t="s">
        <v>126</v>
      </c>
      <c r="B11" s="5" t="s">
        <v>117</v>
      </c>
      <c r="C11" s="5">
        <v>90</v>
      </c>
      <c r="D11" s="5">
        <v>95</v>
      </c>
      <c r="E11" s="5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4A259-96D3-44E3-94EE-22FDAC054581}">
  <dimension ref="A1:E8"/>
  <sheetViews>
    <sheetView workbookViewId="0">
      <selection sqref="A1:E1"/>
    </sheetView>
  </sheetViews>
  <sheetFormatPr defaultRowHeight="16.5" x14ac:dyDescent="0.3"/>
  <sheetData>
    <row r="1" spans="1:5" ht="20.25" x14ac:dyDescent="0.3">
      <c r="A1" s="15" t="s">
        <v>127</v>
      </c>
      <c r="B1" s="15"/>
      <c r="C1" s="15"/>
      <c r="D1" s="15"/>
      <c r="E1" s="15"/>
    </row>
    <row r="3" spans="1:5" x14ac:dyDescent="0.3">
      <c r="A3" s="5" t="s">
        <v>137</v>
      </c>
      <c r="B3" s="5" t="s">
        <v>130</v>
      </c>
      <c r="C3" s="5" t="s">
        <v>131</v>
      </c>
      <c r="D3" s="5" t="s">
        <v>132</v>
      </c>
      <c r="E3" s="5" t="s">
        <v>133</v>
      </c>
    </row>
    <row r="4" spans="1:5" x14ac:dyDescent="0.3">
      <c r="A4" s="5" t="s">
        <v>128</v>
      </c>
      <c r="B4" s="12">
        <v>1569</v>
      </c>
      <c r="C4" s="12">
        <v>1725</v>
      </c>
      <c r="D4" s="12">
        <v>1837</v>
      </c>
      <c r="E4" s="12">
        <v>2169</v>
      </c>
    </row>
    <row r="5" spans="1:5" x14ac:dyDescent="0.3">
      <c r="A5" s="5" t="s">
        <v>134</v>
      </c>
      <c r="B5" s="12">
        <v>2635</v>
      </c>
      <c r="C5" s="12">
        <v>2538</v>
      </c>
      <c r="D5" s="12">
        <v>2724</v>
      </c>
      <c r="E5" s="12">
        <v>3027</v>
      </c>
    </row>
    <row r="6" spans="1:5" x14ac:dyDescent="0.3">
      <c r="A6" s="5" t="s">
        <v>135</v>
      </c>
      <c r="B6" s="12">
        <v>3651</v>
      </c>
      <c r="C6" s="12">
        <v>3867</v>
      </c>
      <c r="D6" s="12">
        <v>4055</v>
      </c>
      <c r="E6" s="12">
        <v>4191</v>
      </c>
    </row>
    <row r="7" spans="1:5" x14ac:dyDescent="0.3">
      <c r="A7" s="5" t="s">
        <v>136</v>
      </c>
      <c r="B7" s="12">
        <v>1589</v>
      </c>
      <c r="C7" s="12">
        <v>1736</v>
      </c>
      <c r="D7" s="12">
        <v>1678</v>
      </c>
      <c r="E7" s="12">
        <v>1983</v>
      </c>
    </row>
    <row r="8" spans="1:5" x14ac:dyDescent="0.3">
      <c r="A8" s="5" t="s">
        <v>129</v>
      </c>
      <c r="B8" s="12">
        <v>9444</v>
      </c>
      <c r="C8" s="12">
        <v>9866</v>
      </c>
      <c r="D8" s="12">
        <v>10294</v>
      </c>
      <c r="E8" s="12">
        <v>11370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2026-05-28T06:24:40Z</dcterms:modified>
</cp:coreProperties>
</file>