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6년 컴활2급 상시02\"/>
    </mc:Choice>
  </mc:AlternateContent>
  <xr:revisionPtr revIDLastSave="0" documentId="13_ncr:1_{E8C8BB42-EC21-4BE6-B420-C4B0A690D12C}" xr6:coauthVersionLast="47" xr6:coauthVersionMax="47" xr10:uidLastSave="{00000000-0000-0000-0000-000000000000}"/>
  <bookViews>
    <workbookView xWindow="-120" yWindow="-120" windowWidth="29040" windowHeight="15840" activeTab="3" xr2:uid="{454C2710-479D-43CF-B081-445713A883DF}"/>
  </bookViews>
  <sheets>
    <sheet name="기본작업-1" sheetId="9" r:id="rId1"/>
    <sheet name="기본작업-2" sheetId="10" r:id="rId2"/>
    <sheet name="기본작업-3" sheetId="11" r:id="rId3"/>
    <sheet name="계산작업" sheetId="4" r:id="rId4"/>
    <sheet name="분석작업-1" sheetId="12" r:id="rId5"/>
    <sheet name="분석작업-2" sheetId="13" r:id="rId6"/>
    <sheet name="매크로작업" sheetId="14" r:id="rId7"/>
    <sheet name="차트작업" sheetId="15" r:id="rId8"/>
  </sheet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4" i="4" l="1"/>
  <c r="D33" i="4"/>
  <c r="D32" i="4"/>
  <c r="D31" i="4"/>
  <c r="D30" i="4"/>
  <c r="D29" i="4"/>
  <c r="D28" i="4"/>
  <c r="D27" i="4"/>
  <c r="J23" i="4" l="1"/>
  <c r="D23" i="4" l="1"/>
  <c r="D22" i="4"/>
  <c r="D21" i="4"/>
  <c r="D20" i="4"/>
  <c r="D19" i="4"/>
  <c r="D18" i="4"/>
  <c r="D17" i="4"/>
  <c r="D16" i="4"/>
  <c r="D15" i="4"/>
  <c r="D14" i="4"/>
  <c r="J3" i="4" l="1"/>
  <c r="E5" i="14" l="1"/>
  <c r="E6" i="14"/>
  <c r="E7" i="14"/>
  <c r="E8" i="14"/>
  <c r="E9" i="14"/>
  <c r="E10" i="14"/>
  <c r="E11" i="14"/>
  <c r="E4" i="14"/>
  <c r="F15" i="13"/>
  <c r="F14" i="13"/>
  <c r="F13" i="13"/>
  <c r="F12" i="13"/>
  <c r="F11" i="13"/>
  <c r="F10" i="13"/>
  <c r="F9" i="13"/>
  <c r="F8" i="13"/>
  <c r="F7" i="13"/>
  <c r="F6" i="13"/>
  <c r="F5" i="13"/>
  <c r="F4" i="13"/>
  <c r="E21" i="12"/>
  <c r="D21" i="12"/>
  <c r="C21" i="12"/>
  <c r="E15" i="12"/>
  <c r="D15" i="12"/>
  <c r="C15" i="12"/>
  <c r="E9" i="12"/>
  <c r="E23" i="12" s="1"/>
  <c r="D9" i="12"/>
  <c r="D23" i="12" s="1"/>
  <c r="C9" i="12"/>
  <c r="C23" i="12" s="1"/>
  <c r="F7" i="12"/>
  <c r="F13" i="12"/>
  <c r="F19" i="12"/>
  <c r="F6" i="12"/>
  <c r="F5" i="12"/>
  <c r="F18" i="12"/>
  <c r="F17" i="12"/>
  <c r="F12" i="12"/>
  <c r="F11" i="12"/>
  <c r="F4" i="12"/>
  <c r="F10" i="12"/>
  <c r="F14" i="12" s="1"/>
  <c r="F16" i="12"/>
  <c r="F20" i="12" s="1"/>
  <c r="F8" i="12" l="1"/>
  <c r="F22" i="12" s="1"/>
  <c r="F15" i="11" l="1"/>
  <c r="F14" i="11"/>
  <c r="F13" i="11"/>
  <c r="F12" i="11"/>
  <c r="F11" i="11"/>
  <c r="F10" i="11"/>
  <c r="F9" i="11"/>
  <c r="F8" i="11"/>
  <c r="F7" i="11"/>
  <c r="F6" i="11"/>
  <c r="F5" i="11"/>
  <c r="F4" i="11"/>
  <c r="G12" i="10" l="1"/>
  <c r="G11" i="10"/>
  <c r="G10" i="10"/>
  <c r="G9" i="10"/>
  <c r="G8" i="10"/>
  <c r="G7" i="10"/>
  <c r="G6" i="10"/>
  <c r="G5" i="10"/>
  <c r="G4" i="10"/>
  <c r="D10" i="4" l="1"/>
  <c r="D9" i="4"/>
  <c r="D8" i="4"/>
  <c r="D7" i="4"/>
  <c r="D6" i="4"/>
  <c r="D5" i="4"/>
  <c r="D4" i="4"/>
  <c r="D3" i="4"/>
</calcChain>
</file>

<file path=xl/sharedStrings.xml><?xml version="1.0" encoding="utf-8"?>
<sst xmlns="http://schemas.openxmlformats.org/spreadsheetml/2006/main" count="336" uniqueCount="276">
  <si>
    <t>상품명</t>
    <phoneticPr fontId="1" type="noConversion"/>
  </si>
  <si>
    <t>일정</t>
    <phoneticPr fontId="1" type="noConversion"/>
  </si>
  <si>
    <t>최소출발인원</t>
    <phoneticPr fontId="1" type="noConversion"/>
  </si>
  <si>
    <t>예약인원</t>
    <phoneticPr fontId="1" type="noConversion"/>
  </si>
  <si>
    <t>예약률</t>
    <phoneticPr fontId="1" type="noConversion"/>
  </si>
  <si>
    <t>8박 10일</t>
    <phoneticPr fontId="1" type="noConversion"/>
  </si>
  <si>
    <t>이탈리아일주</t>
    <phoneticPr fontId="1" type="noConversion"/>
  </si>
  <si>
    <t>7박 9일</t>
    <phoneticPr fontId="1" type="noConversion"/>
  </si>
  <si>
    <t>스페인일주</t>
    <phoneticPr fontId="1" type="noConversion"/>
  </si>
  <si>
    <t>10박 12일</t>
    <phoneticPr fontId="1" type="noConversion"/>
  </si>
  <si>
    <t>14박 15일</t>
    <phoneticPr fontId="1" type="noConversion"/>
  </si>
  <si>
    <t>한국여행사 상품 등록 현황</t>
    <phoneticPr fontId="1" type="noConversion"/>
  </si>
  <si>
    <t>상품코드</t>
    <phoneticPr fontId="1" type="noConversion"/>
  </si>
  <si>
    <t>mk865</t>
    <phoneticPr fontId="1" type="noConversion"/>
  </si>
  <si>
    <t>hs904</t>
    <phoneticPr fontId="1" type="noConversion"/>
  </si>
  <si>
    <t>pa217</t>
    <phoneticPr fontId="1" type="noConversion"/>
  </si>
  <si>
    <t>re636</t>
    <phoneticPr fontId="1" type="noConversion"/>
  </si>
  <si>
    <t>gc820</t>
    <phoneticPr fontId="1" type="noConversion"/>
  </si>
  <si>
    <t>ty379</t>
    <phoneticPr fontId="1" type="noConversion"/>
  </si>
  <si>
    <t>동유럽2국</t>
    <phoneticPr fontId="1" type="noConversion"/>
  </si>
  <si>
    <t>서유럽4국</t>
    <phoneticPr fontId="1" type="noConversion"/>
  </si>
  <si>
    <t>영국일주</t>
    <phoneticPr fontId="1" type="noConversion"/>
  </si>
  <si>
    <t>그리스일주</t>
    <phoneticPr fontId="1" type="noConversion"/>
  </si>
  <si>
    <t>[표1]</t>
    <phoneticPr fontId="1" type="noConversion"/>
  </si>
  <si>
    <t>대여일자</t>
    <phoneticPr fontId="1" type="noConversion"/>
  </si>
  <si>
    <t>수량</t>
    <phoneticPr fontId="1" type="noConversion"/>
  </si>
  <si>
    <t>반납예정일자</t>
    <phoneticPr fontId="1" type="noConversion"/>
  </si>
  <si>
    <t>제품 대여 현황</t>
    <phoneticPr fontId="1" type="noConversion"/>
  </si>
  <si>
    <t>제품코드</t>
    <phoneticPr fontId="1" type="noConversion"/>
  </si>
  <si>
    <t>SN-6041</t>
    <phoneticPr fontId="1" type="noConversion"/>
  </si>
  <si>
    <t>SN-5722</t>
    <phoneticPr fontId="1" type="noConversion"/>
  </si>
  <si>
    <t>SN-9346</t>
    <phoneticPr fontId="1" type="noConversion"/>
  </si>
  <si>
    <t>SN-5713</t>
    <phoneticPr fontId="1" type="noConversion"/>
  </si>
  <si>
    <t>SN-1008</t>
    <phoneticPr fontId="1" type="noConversion"/>
  </si>
  <si>
    <t>SN-7620</t>
    <phoneticPr fontId="1" type="noConversion"/>
  </si>
  <si>
    <t>SN-3488</t>
    <phoneticPr fontId="1" type="noConversion"/>
  </si>
  <si>
    <t>SN-2706</t>
    <phoneticPr fontId="1" type="noConversion"/>
  </si>
  <si>
    <t>한국다원 차 판매 현황</t>
    <phoneticPr fontId="1" type="noConversion"/>
  </si>
  <si>
    <t>구분</t>
    <phoneticPr fontId="1" type="noConversion"/>
  </si>
  <si>
    <t>유통기한</t>
    <phoneticPr fontId="1" type="noConversion"/>
  </si>
  <si>
    <t>중량</t>
    <phoneticPr fontId="1" type="noConversion"/>
  </si>
  <si>
    <t>판매가</t>
    <phoneticPr fontId="1" type="noConversion"/>
  </si>
  <si>
    <t>판매량</t>
    <phoneticPr fontId="1" type="noConversion"/>
  </si>
  <si>
    <t>판매총액</t>
    <phoneticPr fontId="1" type="noConversion"/>
  </si>
  <si>
    <t>티백</t>
    <phoneticPr fontId="1" type="noConversion"/>
  </si>
  <si>
    <t>메밀누룽지차</t>
    <phoneticPr fontId="1" type="noConversion"/>
  </si>
  <si>
    <t>16g</t>
    <phoneticPr fontId="1" type="noConversion"/>
  </si>
  <si>
    <t>케모마일녹차</t>
    <phoneticPr fontId="1" type="noConversion"/>
  </si>
  <si>
    <t>15g</t>
    <phoneticPr fontId="1" type="noConversion"/>
  </si>
  <si>
    <t>루이보스보리차</t>
    <phoneticPr fontId="1" type="noConversion"/>
  </si>
  <si>
    <t>12g</t>
    <phoneticPr fontId="1" type="noConversion"/>
  </si>
  <si>
    <t>순한보리차</t>
    <phoneticPr fontId="1" type="noConversion"/>
  </si>
  <si>
    <t>22g</t>
    <phoneticPr fontId="1" type="noConversion"/>
  </si>
  <si>
    <t>서원현미녹차</t>
    <phoneticPr fontId="1" type="noConversion"/>
  </si>
  <si>
    <t>18g</t>
    <phoneticPr fontId="1" type="noConversion"/>
  </si>
  <si>
    <t>분말</t>
    <phoneticPr fontId="1" type="noConversion"/>
  </si>
  <si>
    <t>고려인삼차</t>
    <phoneticPr fontId="1" type="noConversion"/>
  </si>
  <si>
    <t>23g</t>
    <phoneticPr fontId="1" type="noConversion"/>
  </si>
  <si>
    <t>건강한천마차</t>
    <phoneticPr fontId="1" type="noConversion"/>
  </si>
  <si>
    <t>20g</t>
    <phoneticPr fontId="1" type="noConversion"/>
  </si>
  <si>
    <t>액상</t>
    <phoneticPr fontId="1" type="noConversion"/>
  </si>
  <si>
    <t>달달꿀생강차</t>
    <phoneticPr fontId="1" type="noConversion"/>
  </si>
  <si>
    <t>30g</t>
    <phoneticPr fontId="1" type="noConversion"/>
  </si>
  <si>
    <t>스위트모과차</t>
    <phoneticPr fontId="1" type="noConversion"/>
  </si>
  <si>
    <t>25g</t>
    <phoneticPr fontId="1" type="noConversion"/>
  </si>
  <si>
    <t>상공마트 판매 현황</t>
    <phoneticPr fontId="1" type="noConversion"/>
  </si>
  <si>
    <t>제품명</t>
    <phoneticPr fontId="1" type="noConversion"/>
  </si>
  <si>
    <t>입고일자</t>
    <phoneticPr fontId="1" type="noConversion"/>
  </si>
  <si>
    <t>입고량</t>
    <phoneticPr fontId="1" type="noConversion"/>
  </si>
  <si>
    <t>판매금액</t>
    <phoneticPr fontId="1" type="noConversion"/>
  </si>
  <si>
    <t>맛있는라면</t>
    <phoneticPr fontId="1" type="noConversion"/>
  </si>
  <si>
    <t>대패삼겹살</t>
    <phoneticPr fontId="1" type="noConversion"/>
  </si>
  <si>
    <t>새빨간사과</t>
    <phoneticPr fontId="1" type="noConversion"/>
  </si>
  <si>
    <t>신선대란</t>
    <phoneticPr fontId="1" type="noConversion"/>
  </si>
  <si>
    <t>꿀고구마</t>
    <phoneticPr fontId="1" type="noConversion"/>
  </si>
  <si>
    <t>우리우유</t>
    <phoneticPr fontId="1" type="noConversion"/>
  </si>
  <si>
    <t>훈제오리</t>
    <phoneticPr fontId="1" type="noConversion"/>
  </si>
  <si>
    <t>제주은갈치</t>
    <phoneticPr fontId="1" type="noConversion"/>
  </si>
  <si>
    <t>꽃갈비살</t>
    <phoneticPr fontId="1" type="noConversion"/>
  </si>
  <si>
    <t>모둠초밥</t>
    <phoneticPr fontId="1" type="noConversion"/>
  </si>
  <si>
    <t>성주참외</t>
    <phoneticPr fontId="1" type="noConversion"/>
  </si>
  <si>
    <t>씨없는포도</t>
    <phoneticPr fontId="1" type="noConversion"/>
  </si>
  <si>
    <t>1분기 실적 현황</t>
    <phoneticPr fontId="1" type="noConversion"/>
  </si>
  <si>
    <t>사원명</t>
    <phoneticPr fontId="1" type="noConversion"/>
  </si>
  <si>
    <t>부서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</si>
  <si>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</si>
  <si>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</si>
  <si>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</si>
  <si>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총계</t>
    <phoneticPr fontId="1" type="noConversion"/>
  </si>
  <si>
    <t>강송연</t>
  </si>
  <si>
    <t>영업3팀</t>
  </si>
  <si>
    <t>고시율</t>
  </si>
  <si>
    <t>영업2팀</t>
  </si>
  <si>
    <t>곽민건</t>
  </si>
  <si>
    <t>영업1팀</t>
    <phoneticPr fontId="1" type="noConversion"/>
  </si>
  <si>
    <t>권승원</t>
  </si>
  <si>
    <t>배시안</t>
  </si>
  <si>
    <t>배현준</t>
  </si>
  <si>
    <t>이성우</t>
  </si>
  <si>
    <t>이혜은</t>
    <phoneticPr fontId="1" type="noConversion"/>
  </si>
  <si>
    <t>임동율</t>
  </si>
  <si>
    <t>전서현</t>
  </si>
  <si>
    <t>전유진</t>
  </si>
  <si>
    <t>한가온</t>
    <phoneticPr fontId="1" type="noConversion"/>
  </si>
  <si>
    <t>영업1팀 요약</t>
  </si>
  <si>
    <t>영업2팀 요약</t>
  </si>
  <si>
    <t>영업3팀 요약</t>
  </si>
  <si>
    <t>총합계</t>
  </si>
  <si>
    <t>영업1팀 평균</t>
  </si>
  <si>
    <t>영업2팀 평균</t>
  </si>
  <si>
    <t>영업3팀 평균</t>
  </si>
  <si>
    <t>전체 평균</t>
  </si>
  <si>
    <t>지점별 매출 실적 현황</t>
    <phoneticPr fontId="1" type="noConversion"/>
  </si>
  <si>
    <t>제품명</t>
  </si>
  <si>
    <t>지점</t>
  </si>
  <si>
    <t>판매담당자</t>
  </si>
  <si>
    <t>판매량</t>
  </si>
  <si>
    <t>판매가</t>
  </si>
  <si>
    <t>총판매액</t>
  </si>
  <si>
    <t>저상형침대</t>
  </si>
  <si>
    <t>노원</t>
  </si>
  <si>
    <t>양은하</t>
  </si>
  <si>
    <t>4단책장</t>
  </si>
  <si>
    <t>성북</t>
  </si>
  <si>
    <t>허해수</t>
  </si>
  <si>
    <t>패브릭쇼파</t>
  </si>
  <si>
    <t>문시윤</t>
  </si>
  <si>
    <t>패밀리식탁</t>
  </si>
  <si>
    <t>마포</t>
  </si>
  <si>
    <t>서세진</t>
  </si>
  <si>
    <t>손서은</t>
  </si>
  <si>
    <t>콘솔장</t>
  </si>
  <si>
    <t>전준일</t>
  </si>
  <si>
    <t>우수아</t>
  </si>
  <si>
    <t>손찬호</t>
  </si>
  <si>
    <t>김소원</t>
  </si>
  <si>
    <t>최효인</t>
  </si>
  <si>
    <t>우영선</t>
  </si>
  <si>
    <t>고수연</t>
  </si>
  <si>
    <t>행 레이블</t>
  </si>
  <si>
    <t>열 레이블</t>
  </si>
  <si>
    <t>평균 : 판매량</t>
  </si>
  <si>
    <t>평균 : 총판매액</t>
  </si>
  <si>
    <t>성적 현황</t>
  </si>
  <si>
    <t>이름</t>
    <phoneticPr fontId="1" type="noConversion"/>
  </si>
  <si>
    <t>학과</t>
    <phoneticPr fontId="1" type="noConversion"/>
  </si>
  <si>
    <t>중간고사</t>
    <phoneticPr fontId="1" type="noConversion"/>
  </si>
  <si>
    <t>기말고사</t>
  </si>
  <si>
    <t>평균</t>
    <phoneticPr fontId="1" type="noConversion"/>
  </si>
  <si>
    <t>박나영</t>
    <phoneticPr fontId="1" type="noConversion"/>
  </si>
  <si>
    <t>건축</t>
    <phoneticPr fontId="1" type="noConversion"/>
  </si>
  <si>
    <t>임태웅</t>
    <phoneticPr fontId="1" type="noConversion"/>
  </si>
  <si>
    <t>토목</t>
    <phoneticPr fontId="1" type="noConversion"/>
  </si>
  <si>
    <t>김태진</t>
    <phoneticPr fontId="1" type="noConversion"/>
  </si>
  <si>
    <t>조경</t>
    <phoneticPr fontId="1" type="noConversion"/>
  </si>
  <si>
    <t>이재희</t>
    <phoneticPr fontId="1" type="noConversion"/>
  </si>
  <si>
    <t>유세영</t>
    <phoneticPr fontId="1" type="noConversion"/>
  </si>
  <si>
    <t>송혜교</t>
    <phoneticPr fontId="1" type="noConversion"/>
  </si>
  <si>
    <t>강동원</t>
    <phoneticPr fontId="1" type="noConversion"/>
  </si>
  <si>
    <t>한화진</t>
    <phoneticPr fontId="1" type="noConversion"/>
  </si>
  <si>
    <t>연도별 회원 현황</t>
    <phoneticPr fontId="1" type="noConversion"/>
  </si>
  <si>
    <t>VIP</t>
  </si>
  <si>
    <t>합계</t>
  </si>
  <si>
    <t>2023년</t>
  </si>
  <si>
    <t>2024년</t>
  </si>
  <si>
    <t>2022년</t>
    <phoneticPr fontId="1" type="noConversion"/>
  </si>
  <si>
    <t>2025년</t>
  </si>
  <si>
    <t>등급</t>
    <phoneticPr fontId="1" type="noConversion"/>
  </si>
  <si>
    <t>골드</t>
    <phoneticPr fontId="1" type="noConversion"/>
  </si>
  <si>
    <t>실버</t>
    <phoneticPr fontId="1" type="noConversion"/>
  </si>
  <si>
    <t>일반</t>
    <phoneticPr fontId="1" type="noConversion"/>
  </si>
  <si>
    <t>[표2]</t>
  </si>
  <si>
    <t>시험 결과</t>
  </si>
  <si>
    <t>이름</t>
  </si>
  <si>
    <t>반</t>
  </si>
  <si>
    <t>점수</t>
  </si>
  <si>
    <t>1, 3반 최저 점수 평균</t>
    <phoneticPr fontId="1" type="noConversion"/>
  </si>
  <si>
    <t>2반</t>
  </si>
  <si>
    <t>3반</t>
  </si>
  <si>
    <t>1반</t>
  </si>
  <si>
    <t>&lt;조건&gt;</t>
    <phoneticPr fontId="1" type="noConversion"/>
  </si>
  <si>
    <t>반</t>
    <phoneticPr fontId="1" type="noConversion"/>
  </si>
  <si>
    <t>1반</t>
    <phoneticPr fontId="1" type="noConversion"/>
  </si>
  <si>
    <t>3반</t>
    <phoneticPr fontId="1" type="noConversion"/>
  </si>
  <si>
    <t>김은소</t>
    <phoneticPr fontId="1" type="noConversion"/>
  </si>
  <si>
    <t>이윤서</t>
    <phoneticPr fontId="1" type="noConversion"/>
  </si>
  <si>
    <t>정다빈</t>
    <phoneticPr fontId="1" type="noConversion"/>
  </si>
  <si>
    <t>이나영</t>
    <phoneticPr fontId="1" type="noConversion"/>
  </si>
  <si>
    <t>김한순</t>
    <phoneticPr fontId="1" type="noConversion"/>
  </si>
  <si>
    <t>조광희</t>
    <phoneticPr fontId="1" type="noConversion"/>
  </si>
  <si>
    <t>유성훈</t>
    <phoneticPr fontId="1" type="noConversion"/>
  </si>
  <si>
    <t>박진만</t>
    <phoneticPr fontId="1" type="noConversion"/>
  </si>
  <si>
    <t>[표3]</t>
    <phoneticPr fontId="1" type="noConversion"/>
  </si>
  <si>
    <t>예약코드</t>
    <phoneticPr fontId="1" type="noConversion"/>
  </si>
  <si>
    <t>예약일자</t>
    <phoneticPr fontId="1" type="noConversion"/>
  </si>
  <si>
    <t>도착지</t>
    <phoneticPr fontId="1" type="noConversion"/>
  </si>
  <si>
    <t>좌석</t>
    <phoneticPr fontId="1" type="noConversion"/>
  </si>
  <si>
    <t>하와이</t>
    <phoneticPr fontId="1" type="noConversion"/>
  </si>
  <si>
    <t>오사카</t>
    <phoneticPr fontId="1" type="noConversion"/>
  </si>
  <si>
    <t>뉴욕</t>
    <phoneticPr fontId="1" type="noConversion"/>
  </si>
  <si>
    <t>다낭</t>
    <phoneticPr fontId="1" type="noConversion"/>
  </si>
  <si>
    <t>RN-2-61</t>
    <phoneticPr fontId="1" type="noConversion"/>
  </si>
  <si>
    <t>토론토</t>
    <phoneticPr fontId="1" type="noConversion"/>
  </si>
  <si>
    <t>그리스</t>
    <phoneticPr fontId="1" type="noConversion"/>
  </si>
  <si>
    <t>이탈리아</t>
    <phoneticPr fontId="1" type="noConversion"/>
  </si>
  <si>
    <t>스페인</t>
    <phoneticPr fontId="1" type="noConversion"/>
  </si>
  <si>
    <t>한국항공 예약 현황</t>
    <phoneticPr fontId="1" type="noConversion"/>
  </si>
  <si>
    <t>방콕</t>
    <phoneticPr fontId="1" type="noConversion"/>
  </si>
  <si>
    <t>스위스</t>
    <phoneticPr fontId="1" type="noConversion"/>
  </si>
  <si>
    <t>RN-2-93</t>
    <phoneticPr fontId="1" type="noConversion"/>
  </si>
  <si>
    <t>RN-3-57</t>
    <phoneticPr fontId="1" type="noConversion"/>
  </si>
  <si>
    <t>RN-1-22</t>
    <phoneticPr fontId="1" type="noConversion"/>
  </si>
  <si>
    <t>RN-3-16</t>
    <phoneticPr fontId="1" type="noConversion"/>
  </si>
  <si>
    <t>RN-1-29</t>
    <phoneticPr fontId="1" type="noConversion"/>
  </si>
  <si>
    <t>RN-1-81</t>
    <phoneticPr fontId="1" type="noConversion"/>
  </si>
  <si>
    <t>RN-1-09</t>
    <phoneticPr fontId="1" type="noConversion"/>
  </si>
  <si>
    <t>RN-2-84</t>
    <phoneticPr fontId="1" type="noConversion"/>
  </si>
  <si>
    <t>RN-3-70</t>
    <phoneticPr fontId="1" type="noConversion"/>
  </si>
  <si>
    <t>[표4]</t>
    <phoneticPr fontId="1" type="noConversion"/>
  </si>
  <si>
    <t>제품출고 현황</t>
    <phoneticPr fontId="1" type="noConversion"/>
  </si>
  <si>
    <t>제품</t>
    <phoneticPr fontId="1" type="noConversion"/>
  </si>
  <si>
    <t>구분코드</t>
    <phoneticPr fontId="1" type="noConversion"/>
  </si>
  <si>
    <t>출고가</t>
    <phoneticPr fontId="1" type="noConversion"/>
  </si>
  <si>
    <t>출고량</t>
    <phoneticPr fontId="1" type="noConversion"/>
  </si>
  <si>
    <t>출고일자</t>
    <phoneticPr fontId="1" type="noConversion"/>
  </si>
  <si>
    <t>원피스</t>
    <phoneticPr fontId="1" type="noConversion"/>
  </si>
  <si>
    <t>4월2일</t>
  </si>
  <si>
    <t>구두</t>
    <phoneticPr fontId="1" type="noConversion"/>
  </si>
  <si>
    <t>스커트</t>
    <phoneticPr fontId="1" type="noConversion"/>
  </si>
  <si>
    <t>모자</t>
    <phoneticPr fontId="1" type="noConversion"/>
  </si>
  <si>
    <t>4월8일</t>
  </si>
  <si>
    <t>운동화</t>
    <phoneticPr fontId="1" type="noConversion"/>
  </si>
  <si>
    <t>지갑</t>
    <phoneticPr fontId="1" type="noConversion"/>
  </si>
  <si>
    <t>청바지</t>
    <phoneticPr fontId="1" type="noConversion"/>
  </si>
  <si>
    <t>면바지</t>
    <phoneticPr fontId="1" type="noConversion"/>
  </si>
  <si>
    <t>4월16일</t>
  </si>
  <si>
    <t>벨트</t>
    <phoneticPr fontId="1" type="noConversion"/>
  </si>
  <si>
    <t>빈도가 가장 높은 제품 수</t>
    <phoneticPr fontId="1" type="noConversion"/>
  </si>
  <si>
    <t>[표5]</t>
  </si>
  <si>
    <t>재학생정보</t>
  </si>
  <si>
    <t>학번</t>
  </si>
  <si>
    <t>입학년도</t>
  </si>
  <si>
    <t>성명</t>
  </si>
  <si>
    <t>학과</t>
  </si>
  <si>
    <t>&lt;학과정보표&gt;</t>
  </si>
  <si>
    <t>AE1542</t>
  </si>
  <si>
    <t>학과코드</t>
  </si>
  <si>
    <t>학과교수</t>
  </si>
  <si>
    <t>학과명</t>
  </si>
  <si>
    <t>DE2546</t>
  </si>
  <si>
    <t>AE</t>
  </si>
  <si>
    <t>디자인</t>
  </si>
  <si>
    <t>FH1095</t>
  </si>
  <si>
    <t>DE</t>
  </si>
  <si>
    <t>미디어</t>
  </si>
  <si>
    <t>AE2428</t>
  </si>
  <si>
    <t>FH</t>
  </si>
  <si>
    <t>실용음악</t>
  </si>
  <si>
    <t>BS2937</t>
  </si>
  <si>
    <t>BS</t>
  </si>
  <si>
    <t>문예창작</t>
  </si>
  <si>
    <t>DE3810</t>
  </si>
  <si>
    <t>FH2767</t>
  </si>
  <si>
    <t>BS1571</t>
  </si>
  <si>
    <t>김지민</t>
    <phoneticPr fontId="1" type="noConversion"/>
  </si>
  <si>
    <t>한해진</t>
    <phoneticPr fontId="1" type="noConversion"/>
  </si>
  <si>
    <t>유재성</t>
    <phoneticPr fontId="1" type="noConversion"/>
  </si>
  <si>
    <t>황영준</t>
    <phoneticPr fontId="1" type="noConversion"/>
  </si>
  <si>
    <t>윤승아</t>
    <phoneticPr fontId="1" type="noConversion"/>
  </si>
  <si>
    <t>표승철</t>
    <phoneticPr fontId="1" type="noConversion"/>
  </si>
  <si>
    <t>전태희</t>
    <phoneticPr fontId="1" type="noConversion"/>
  </si>
  <si>
    <t>진성준</t>
    <phoneticPr fontId="1" type="noConversion"/>
  </si>
  <si>
    <t>박승수</t>
    <phoneticPr fontId="1" type="noConversion"/>
  </si>
  <si>
    <t>이경도</t>
    <phoneticPr fontId="1" type="noConversion"/>
  </si>
  <si>
    <t>한용택</t>
    <phoneticPr fontId="1" type="noConversion"/>
  </si>
  <si>
    <t>김태영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</si>
</sst>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&quot;원&quot;"/>
    <numFmt numFmtId="177" formatCode="#,##0_ 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u/>
      <sz val="18"/>
      <color theme="1"/>
      <name val="궁서체"/>
      <family val="1"/>
      <charset val="129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76" fontId="0" fillId="0" borderId="3" xfId="0" applyNumberFormat="1" applyBorder="1">
      <alignment vertical="center"/>
    </xf>
    <xf numFmtId="41" fontId="0" fillId="0" borderId="3" xfId="1" applyFont="1" applyBorder="1">
      <alignment vertical="center"/>
    </xf>
    <xf numFmtId="176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41" fontId="0" fillId="0" borderId="1" xfId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1" fontId="5" fillId="0" borderId="1" xfId="0" applyNumberFormat="1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>
      <alignment vertical="center"/>
    </xf>
    <xf numFmtId="0" fontId="0" fillId="3" borderId="1" xfId="0" applyFill="1" applyBorder="1" applyAlignment="1">
      <alignment horizontal="center" vertical="center"/>
    </xf>
    <xf numFmtId="177" fontId="0" fillId="0" borderId="1" xfId="1" applyNumberFormat="1" applyFont="1" applyBorder="1" applyAlignment="1">
      <alignment horizontal="right" vertical="center"/>
    </xf>
    <xf numFmtId="0" fontId="9" fillId="0" borderId="0" xfId="2" applyFont="1">
      <alignment vertical="center"/>
    </xf>
    <xf numFmtId="0" fontId="10" fillId="0" borderId="0" xfId="2" applyFont="1">
      <alignment vertical="center"/>
    </xf>
    <xf numFmtId="0" fontId="6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6" xfId="0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 2" xfId="2" xr:uid="{5DFA29F5-54BF-4F75-AF55-5FE909D70142}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연도별 회원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2023년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차트작업!$A$4:$A$7</c:f>
              <c:strCache>
                <c:ptCount val="4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</c:strCache>
            </c:strRef>
          </c:cat>
          <c:val>
            <c:numRef>
              <c:f>차트작업!$C$4:$C$7</c:f>
              <c:numCache>
                <c:formatCode>#,##0_ </c:formatCode>
                <c:ptCount val="4"/>
                <c:pt idx="0">
                  <c:v>1725</c:v>
                </c:pt>
                <c:pt idx="1">
                  <c:v>2538</c:v>
                </c:pt>
                <c:pt idx="2">
                  <c:v>3867</c:v>
                </c:pt>
                <c:pt idx="3">
                  <c:v>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1B-4499-A690-AAACF4FD8A19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2024년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차트작업!$A$4:$A$7</c:f>
              <c:strCache>
                <c:ptCount val="4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</c:strCache>
            </c:strRef>
          </c:cat>
          <c:val>
            <c:numRef>
              <c:f>차트작업!$D$4:$D$7</c:f>
              <c:numCache>
                <c:formatCode>#,##0_ </c:formatCode>
                <c:ptCount val="4"/>
                <c:pt idx="0">
                  <c:v>1837</c:v>
                </c:pt>
                <c:pt idx="1">
                  <c:v>2724</c:v>
                </c:pt>
                <c:pt idx="2">
                  <c:v>4055</c:v>
                </c:pt>
                <c:pt idx="3">
                  <c:v>1678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1B-4499-A690-AAACF4FD8A19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2025년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차트작업!$A$4:$A$7</c:f>
              <c:strCache>
                <c:ptCount val="4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</c:strCache>
            </c:strRef>
          </c:cat>
          <c:val>
            <c:numRef>
              <c:f>차트작업!$E$4:$E$7</c:f>
              <c:numCache>
                <c:formatCode>#,##0_ </c:formatCode>
                <c:ptCount val="4"/>
                <c:pt idx="0">
                  <c:v>2169</c:v>
                </c:pt>
                <c:pt idx="1">
                  <c:v>3027</c:v>
                </c:pt>
                <c:pt idx="2">
                  <c:v>4191</c:v>
                </c:pt>
                <c:pt idx="3">
                  <c:v>1983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1B-4499-A690-AAACF4FD8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8525952"/>
        <c:axId val="1108527872"/>
      </c:barChart>
      <c:catAx>
        <c:axId val="11085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8527872"/>
        <c:crosses val="autoZero"/>
        <c:auto val="1"/>
        <c:lblAlgn val="ctr"/>
        <c:lblOffset val="100"/>
        <c:noMultiLvlLbl val="0"/>
      </c:catAx>
      <c:valAx>
        <c:axId val="1108527872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8525952"/>
        <c:crosses val="autoZero"/>
        <c:crossBetween val="between"/>
        <c:majorUnit val="1000"/>
      </c:valAx>
      <c:spPr>
        <a:noFill/>
        <a:ln>
          <a:noFill/>
        </a:ln>
        <a:effectLst/>
      </c:spPr>
    </c:plotArea>
    <c:legend>
      <c:legendPos val="t"/>
      <c:overlay val="0"/>
      <c:spPr>
        <a:gradFill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12</xdr:row>
      <xdr:rowOff>0</xdr:rowOff>
    </xdr:from>
    <xdr:to>
      <xdr:col>4</xdr:col>
      <xdr:colOff>0</xdr:colOff>
      <xdr:row>14</xdr:row>
      <xdr:rowOff>0</xdr:rowOff>
    </xdr:to>
    <xdr:sp macro="[0]!서식" textlink="">
      <xdr:nvSpPr>
        <xdr:cNvPr id="2" name="사각형: 빗면 1">
          <a:extLst>
            <a:ext uri="{FF2B5EF4-FFF2-40B4-BE49-F238E27FC236}">
              <a16:creationId xmlns:a16="http://schemas.microsoft.com/office/drawing/2014/main" id="{20C1698D-BD01-4FDC-86E0-229893FF586D}"/>
            </a:ext>
          </a:extLst>
        </xdr:cNvPr>
        <xdr:cNvSpPr/>
      </xdr:nvSpPr>
      <xdr:spPr>
        <a:xfrm>
          <a:off x="1981200" y="2641600"/>
          <a:ext cx="6604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4D03A7E-8EAA-4C0F-AFF1-DF2AAD83C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6034.429593171299" createdVersion="7" refreshedVersion="7" minRefreshableVersion="3" recordCount="12" xr:uid="{43DFB4C7-D1A2-4072-AAC7-2C89BED48209}">
  <cacheSource type="worksheet">
    <worksheetSource ref="A3:F15" sheet="분석작업-2"/>
  </cacheSource>
  <cacheFields count="6">
    <cacheField name="제품명" numFmtId="0">
      <sharedItems count="5">
        <s v="저상형침대"/>
        <s v="4단책장"/>
        <s v="패브릭쇼파"/>
        <s v="패밀리식탁"/>
        <s v="콘솔장"/>
      </sharedItems>
    </cacheField>
    <cacheField name="지점" numFmtId="0">
      <sharedItems count="3">
        <s v="노원"/>
        <s v="성북"/>
        <s v="마포"/>
      </sharedItems>
    </cacheField>
    <cacheField name="판매담당자" numFmtId="0">
      <sharedItems/>
    </cacheField>
    <cacheField name="판매량" numFmtId="0">
      <sharedItems containsSemiMixedTypes="0" containsString="0" containsNumber="1" containsInteger="1" minValue="15" maxValue="62"/>
    </cacheField>
    <cacheField name="판매가" numFmtId="41">
      <sharedItems containsSemiMixedTypes="0" containsString="0" containsNumber="1" containsInteger="1" minValue="289000" maxValue="1950000"/>
    </cacheField>
    <cacheField name="총판매액" numFmtId="41">
      <sharedItems containsSemiMixedTypes="0" containsString="0" containsNumber="1" containsInteger="1" minValue="5640000" maxValue="5596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s v="양은하"/>
    <n v="28"/>
    <n v="1056000"/>
    <n v="29568000"/>
  </r>
  <r>
    <x v="1"/>
    <x v="1"/>
    <s v="허해수"/>
    <n v="35"/>
    <n v="289000"/>
    <n v="10115000"/>
  </r>
  <r>
    <x v="2"/>
    <x v="0"/>
    <s v="문시윤"/>
    <n v="19"/>
    <n v="1950000"/>
    <n v="37050000"/>
  </r>
  <r>
    <x v="3"/>
    <x v="2"/>
    <s v="서세진"/>
    <n v="61"/>
    <n v="699000"/>
    <n v="42639000"/>
  </r>
  <r>
    <x v="0"/>
    <x v="2"/>
    <s v="손서은"/>
    <n v="53"/>
    <n v="1056000"/>
    <n v="55968000"/>
  </r>
  <r>
    <x v="4"/>
    <x v="0"/>
    <s v="전준일"/>
    <n v="27"/>
    <n v="376000"/>
    <n v="10152000"/>
  </r>
  <r>
    <x v="2"/>
    <x v="2"/>
    <s v="우수아"/>
    <n v="22"/>
    <n v="1950000"/>
    <n v="42900000"/>
  </r>
  <r>
    <x v="4"/>
    <x v="1"/>
    <s v="손찬호"/>
    <n v="15"/>
    <n v="376000"/>
    <n v="5640000"/>
  </r>
  <r>
    <x v="0"/>
    <x v="1"/>
    <s v="김소원"/>
    <n v="38"/>
    <n v="1056000"/>
    <n v="40128000"/>
  </r>
  <r>
    <x v="1"/>
    <x v="2"/>
    <s v="최효인"/>
    <n v="46"/>
    <n v="289000"/>
    <n v="13294000"/>
  </r>
  <r>
    <x v="1"/>
    <x v="0"/>
    <s v="우영선"/>
    <n v="62"/>
    <n v="289000"/>
    <n v="17918000"/>
  </r>
  <r>
    <x v="3"/>
    <x v="1"/>
    <s v="고수연"/>
    <n v="24"/>
    <n v="699000"/>
    <n v="16776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C4D0F0-3599-470E-965D-1C2991BD06F6}" name="피벗 테이블1" cacheId="0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outline="1" outlineData="1" multipleFieldFilters="0">
  <location ref="A18:G26" firstHeaderRow="1" firstDataRow="3" firstDataCol="1"/>
  <pivotFields count="6">
    <pivotField axis="axisRow" showAll="0">
      <items count="6">
        <item x="1"/>
        <item x="0"/>
        <item x="4"/>
        <item x="3"/>
        <item x="2"/>
        <item t="default"/>
      </items>
    </pivotField>
    <pivotField axis="axisCol" showAll="0">
      <items count="4">
        <item x="0"/>
        <item x="2"/>
        <item x="1"/>
        <item t="default"/>
      </items>
    </pivotField>
    <pivotField showAll="0"/>
    <pivotField dataField="1" showAll="0"/>
    <pivotField numFmtId="41" showAll="0"/>
    <pivotField dataField="1" numFmtId="4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dataFields count="2">
    <dataField name="평균 : 판매량" fld="3" subtotal="average" baseField="0" baseItem="0"/>
    <dataField name="평균 : 총판매액" fld="5" subtotal="average" baseField="0" baseItem="0" numFmtId="17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91E20C-03A4-47FD-B72E-131EEA8F4564}" name="표1" displayName="표1" ref="A3:F23" totalsRowShown="0" headerRowDxfId="9" dataDxfId="7" headerRowBorderDxfId="8" tableBorderDxfId="6" dataCellStyle="쉼표 [0]">
  <autoFilter ref="A3:F23" xr:uid="{D891E20C-03A4-47FD-B72E-131EEA8F4564}"/>
  <tableColumns count="6">
    <tableColumn id="1" xr3:uid="{9D6772DA-E5A9-4D40-8B97-1D65608BD8EA}" name="사원명" dataDxfId="5"/>
    <tableColumn id="2" xr3:uid="{6B438E0C-F646-46EC-BDB4-6E1DC0D72C10}" name="부서" dataDxfId="4"/>
    <tableColumn id="3" xr3:uid="{93C4FA6A-7952-4AC6-9098-1D6519CE2599}" name="1월" dataDxfId="3" dataCellStyle="쉼표 [0]"/>
    <tableColumn id="4" xr3:uid="{A398E925-5A4E-48D0-8C91-6E1F0F451EEA}" name="2월" dataDxfId="2" dataCellStyle="쉼표 [0]"/>
    <tableColumn id="5" xr3:uid="{623E0418-74C8-4231-953A-04B8FAED105E}" name="3월" dataDxfId="1" dataCellStyle="쉼표 [0]"/>
    <tableColumn id="6" xr3:uid="{023324EA-57BB-4C21-A9BC-8CFAC3B696D4}" name="총계" dataDxfId="0" dataCellStyle="쉼표 [0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A35F0-5880-4C90-B150-D6D0709DD283}">
  <sheetPr codeName="Sheet1"/>
  <dimension ref="A1:F9"/>
  <sheetViews>
    <sheetView workbookViewId="0">
      <selection activeCell="M10" sqref="M10"/>
    </sheetView>
  </sheetViews>
  <sheetFormatPr defaultRowHeight="16.5" x14ac:dyDescent="0.3"/>
  <cols>
    <col min="1" max="1" width="8.875" bestFit="1" customWidth="1"/>
    <col min="2" max="2" width="12.375" bestFit="1" customWidth="1"/>
    <col min="3" max="3" width="9.5" bestFit="1" customWidth="1"/>
    <col min="4" max="4" width="12.375" bestFit="1" customWidth="1"/>
  </cols>
  <sheetData>
    <row r="1" spans="1:6" x14ac:dyDescent="0.3">
      <c r="A1" t="s">
        <v>11</v>
      </c>
    </row>
    <row r="3" spans="1:6" x14ac:dyDescent="0.3">
      <c r="A3" s="1" t="s">
        <v>12</v>
      </c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</row>
    <row r="4" spans="1:6" x14ac:dyDescent="0.3">
      <c r="A4" s="1" t="s">
        <v>13</v>
      </c>
      <c r="B4" s="1" t="s">
        <v>19</v>
      </c>
      <c r="C4" s="1" t="s">
        <v>7</v>
      </c>
      <c r="D4" s="1">
        <v>35</v>
      </c>
      <c r="E4" s="1">
        <v>37</v>
      </c>
      <c r="F4" s="2">
        <v>1.06</v>
      </c>
    </row>
    <row r="5" spans="1:6" x14ac:dyDescent="0.3">
      <c r="A5" s="1" t="s">
        <v>14</v>
      </c>
      <c r="B5" s="1" t="s">
        <v>8</v>
      </c>
      <c r="C5" s="1" t="s">
        <v>5</v>
      </c>
      <c r="D5" s="1">
        <v>25</v>
      </c>
      <c r="E5" s="1">
        <v>21</v>
      </c>
      <c r="F5" s="2">
        <v>0.84</v>
      </c>
    </row>
    <row r="6" spans="1:6" x14ac:dyDescent="0.3">
      <c r="A6" s="1" t="s">
        <v>15</v>
      </c>
      <c r="B6" s="1" t="s">
        <v>20</v>
      </c>
      <c r="C6" s="1" t="s">
        <v>10</v>
      </c>
      <c r="D6" s="1">
        <v>30</v>
      </c>
      <c r="E6" s="1">
        <v>32</v>
      </c>
      <c r="F6" s="2">
        <v>1.07</v>
      </c>
    </row>
    <row r="7" spans="1:6" x14ac:dyDescent="0.3">
      <c r="A7" s="1" t="s">
        <v>16</v>
      </c>
      <c r="B7" s="1" t="s">
        <v>21</v>
      </c>
      <c r="C7" s="1" t="s">
        <v>7</v>
      </c>
      <c r="D7" s="1">
        <v>35</v>
      </c>
      <c r="E7" s="1">
        <v>22</v>
      </c>
      <c r="F7" s="2">
        <v>0.63</v>
      </c>
    </row>
    <row r="8" spans="1:6" x14ac:dyDescent="0.3">
      <c r="A8" s="1" t="s">
        <v>17</v>
      </c>
      <c r="B8" s="1" t="s">
        <v>22</v>
      </c>
      <c r="C8" s="1" t="s">
        <v>5</v>
      </c>
      <c r="D8" s="1">
        <v>35</v>
      </c>
      <c r="E8" s="1">
        <v>41</v>
      </c>
      <c r="F8" s="2">
        <v>1.17</v>
      </c>
    </row>
    <row r="9" spans="1:6" x14ac:dyDescent="0.3">
      <c r="A9" s="1" t="s">
        <v>18</v>
      </c>
      <c r="B9" s="1" t="s">
        <v>6</v>
      </c>
      <c r="C9" s="1" t="s">
        <v>9</v>
      </c>
      <c r="D9" s="1">
        <v>30</v>
      </c>
      <c r="E9" s="1">
        <v>34</v>
      </c>
      <c r="F9" s="2">
        <v>1.1299999999999999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176F1-A0F2-420F-A08F-0A69E6FFD26B}">
  <dimension ref="A1:G12"/>
  <sheetViews>
    <sheetView workbookViewId="0">
      <selection sqref="A1:G1"/>
    </sheetView>
  </sheetViews>
  <sheetFormatPr defaultRowHeight="16.5" x14ac:dyDescent="0.3"/>
  <cols>
    <col min="2" max="2" width="14.375" bestFit="1" customWidth="1"/>
    <col min="3" max="3" width="10.75" bestFit="1" customWidth="1"/>
    <col min="7" max="7" width="12" bestFit="1" customWidth="1"/>
  </cols>
  <sheetData>
    <row r="1" spans="1:7" ht="22.5" x14ac:dyDescent="0.3">
      <c r="A1" s="27" t="s">
        <v>37</v>
      </c>
      <c r="B1" s="27"/>
      <c r="C1" s="27"/>
      <c r="D1" s="27"/>
      <c r="E1" s="27"/>
      <c r="F1" s="27"/>
      <c r="G1" s="27"/>
    </row>
    <row r="3" spans="1:7" ht="17.25" thickBot="1" x14ac:dyDescent="0.35">
      <c r="A3" s="8" t="s">
        <v>38</v>
      </c>
      <c r="B3" s="8" t="s">
        <v>0</v>
      </c>
      <c r="C3" s="8" t="s">
        <v>39</v>
      </c>
      <c r="D3" s="8" t="s">
        <v>40</v>
      </c>
      <c r="E3" s="8" t="s">
        <v>41</v>
      </c>
      <c r="F3" s="8" t="s">
        <v>42</v>
      </c>
      <c r="G3" s="8" t="s">
        <v>43</v>
      </c>
    </row>
    <row r="4" spans="1:7" ht="17.25" thickTop="1" x14ac:dyDescent="0.3">
      <c r="A4" s="28" t="s">
        <v>44</v>
      </c>
      <c r="B4" s="9" t="s">
        <v>45</v>
      </c>
      <c r="C4" s="10">
        <v>45783</v>
      </c>
      <c r="D4" s="9" t="s">
        <v>46</v>
      </c>
      <c r="E4" s="11">
        <v>11500</v>
      </c>
      <c r="F4" s="12">
        <v>1382</v>
      </c>
      <c r="G4" s="11">
        <f t="shared" ref="G4:G12" si="0">E4*F4</f>
        <v>15893000</v>
      </c>
    </row>
    <row r="5" spans="1:7" x14ac:dyDescent="0.3">
      <c r="A5" s="29"/>
      <c r="B5" s="5" t="s">
        <v>47</v>
      </c>
      <c r="C5" s="7">
        <v>45945</v>
      </c>
      <c r="D5" s="5" t="s">
        <v>48</v>
      </c>
      <c r="E5" s="13">
        <v>14200</v>
      </c>
      <c r="F5" s="14">
        <v>1237</v>
      </c>
      <c r="G5" s="13">
        <f t="shared" si="0"/>
        <v>17565400</v>
      </c>
    </row>
    <row r="6" spans="1:7" x14ac:dyDescent="0.3">
      <c r="A6" s="29"/>
      <c r="B6" s="5" t="s">
        <v>49</v>
      </c>
      <c r="C6" s="7">
        <v>45924</v>
      </c>
      <c r="D6" s="5" t="s">
        <v>50</v>
      </c>
      <c r="E6" s="13">
        <v>9500</v>
      </c>
      <c r="F6" s="14">
        <v>1186</v>
      </c>
      <c r="G6" s="13">
        <f t="shared" si="0"/>
        <v>11267000</v>
      </c>
    </row>
    <row r="7" spans="1:7" x14ac:dyDescent="0.3">
      <c r="A7" s="29"/>
      <c r="B7" s="5" t="s">
        <v>51</v>
      </c>
      <c r="C7" s="7">
        <v>45752</v>
      </c>
      <c r="D7" s="5" t="s">
        <v>52</v>
      </c>
      <c r="E7" s="13">
        <v>11300</v>
      </c>
      <c r="F7" s="14">
        <v>1562</v>
      </c>
      <c r="G7" s="13">
        <f t="shared" si="0"/>
        <v>17650600</v>
      </c>
    </row>
    <row r="8" spans="1:7" x14ac:dyDescent="0.3">
      <c r="A8" s="29"/>
      <c r="B8" s="5" t="s">
        <v>53</v>
      </c>
      <c r="C8" s="7">
        <v>45856</v>
      </c>
      <c r="D8" s="5" t="s">
        <v>54</v>
      </c>
      <c r="E8" s="13">
        <v>12400</v>
      </c>
      <c r="F8" s="14">
        <v>1739</v>
      </c>
      <c r="G8" s="13">
        <f t="shared" si="0"/>
        <v>21563600</v>
      </c>
    </row>
    <row r="9" spans="1:7" x14ac:dyDescent="0.3">
      <c r="A9" s="29" t="s">
        <v>55</v>
      </c>
      <c r="B9" s="5" t="s">
        <v>56</v>
      </c>
      <c r="C9" s="7">
        <v>45907</v>
      </c>
      <c r="D9" s="5" t="s">
        <v>57</v>
      </c>
      <c r="E9" s="13">
        <v>15000</v>
      </c>
      <c r="F9" s="14">
        <v>1503</v>
      </c>
      <c r="G9" s="13">
        <f t="shared" si="0"/>
        <v>22545000</v>
      </c>
    </row>
    <row r="10" spans="1:7" x14ac:dyDescent="0.3">
      <c r="A10" s="29"/>
      <c r="B10" s="5" t="s">
        <v>58</v>
      </c>
      <c r="C10" s="7">
        <v>45737</v>
      </c>
      <c r="D10" s="5" t="s">
        <v>59</v>
      </c>
      <c r="E10" s="13">
        <v>12300</v>
      </c>
      <c r="F10" s="14">
        <v>1495</v>
      </c>
      <c r="G10" s="13">
        <f t="shared" si="0"/>
        <v>18388500</v>
      </c>
    </row>
    <row r="11" spans="1:7" x14ac:dyDescent="0.3">
      <c r="A11" s="29" t="s">
        <v>60</v>
      </c>
      <c r="B11" s="5" t="s">
        <v>61</v>
      </c>
      <c r="C11" s="7">
        <v>45838</v>
      </c>
      <c r="D11" s="5" t="s">
        <v>62</v>
      </c>
      <c r="E11" s="13">
        <v>10600</v>
      </c>
      <c r="F11" s="14">
        <v>1684</v>
      </c>
      <c r="G11" s="13">
        <f t="shared" si="0"/>
        <v>17850400</v>
      </c>
    </row>
    <row r="12" spans="1:7" x14ac:dyDescent="0.3">
      <c r="A12" s="29"/>
      <c r="B12" s="5" t="s">
        <v>63</v>
      </c>
      <c r="C12" s="7">
        <v>45799</v>
      </c>
      <c r="D12" s="5" t="s">
        <v>64</v>
      </c>
      <c r="E12" s="13">
        <v>13500</v>
      </c>
      <c r="F12" s="14">
        <v>1337</v>
      </c>
      <c r="G12" s="13">
        <f t="shared" si="0"/>
        <v>18049500</v>
      </c>
    </row>
  </sheetData>
  <mergeCells count="4">
    <mergeCell ref="A1:G1"/>
    <mergeCell ref="A4:A8"/>
    <mergeCell ref="A9:A10"/>
    <mergeCell ref="A11:A12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387AC-CE51-4231-A13B-67160ADEC3AD}">
  <dimension ref="A1:F15"/>
  <sheetViews>
    <sheetView workbookViewId="0">
      <selection sqref="A1:F1"/>
    </sheetView>
  </sheetViews>
  <sheetFormatPr defaultRowHeight="16.5" x14ac:dyDescent="0.3"/>
  <cols>
    <col min="1" max="1" width="11.625" customWidth="1"/>
    <col min="2" max="2" width="12.625" customWidth="1"/>
    <col min="6" max="6" width="13.625" customWidth="1"/>
  </cols>
  <sheetData>
    <row r="1" spans="1:6" ht="20.25" x14ac:dyDescent="0.3">
      <c r="A1" s="30" t="s">
        <v>65</v>
      </c>
      <c r="B1" s="30"/>
      <c r="C1" s="30"/>
      <c r="D1" s="30"/>
      <c r="E1" s="30"/>
      <c r="F1" s="30"/>
    </row>
    <row r="3" spans="1:6" x14ac:dyDescent="0.3">
      <c r="A3" s="5" t="s">
        <v>66</v>
      </c>
      <c r="B3" s="5" t="s">
        <v>67</v>
      </c>
      <c r="C3" s="5" t="s">
        <v>68</v>
      </c>
      <c r="D3" s="5" t="s">
        <v>42</v>
      </c>
      <c r="E3" s="5" t="s">
        <v>41</v>
      </c>
      <c r="F3" s="5" t="s">
        <v>69</v>
      </c>
    </row>
    <row r="4" spans="1:6" x14ac:dyDescent="0.3">
      <c r="A4" s="5" t="s">
        <v>70</v>
      </c>
      <c r="B4" s="7">
        <v>45748</v>
      </c>
      <c r="C4" s="15">
        <v>1000</v>
      </c>
      <c r="D4" s="15">
        <v>836</v>
      </c>
      <c r="E4" s="15">
        <v>4200</v>
      </c>
      <c r="F4" s="15">
        <f>D4*E4</f>
        <v>3511200</v>
      </c>
    </row>
    <row r="5" spans="1:6" x14ac:dyDescent="0.3">
      <c r="A5" s="5" t="s">
        <v>71</v>
      </c>
      <c r="B5" s="7">
        <v>45749</v>
      </c>
      <c r="C5" s="15">
        <v>650</v>
      </c>
      <c r="D5" s="15">
        <v>524</v>
      </c>
      <c r="E5" s="15">
        <v>9900</v>
      </c>
      <c r="F5" s="15">
        <f t="shared" ref="F5:F15" si="0">D5*E5</f>
        <v>5187600</v>
      </c>
    </row>
    <row r="6" spans="1:6" x14ac:dyDescent="0.3">
      <c r="A6" s="5" t="s">
        <v>72</v>
      </c>
      <c r="B6" s="7">
        <v>45750</v>
      </c>
      <c r="C6" s="15">
        <v>400</v>
      </c>
      <c r="D6" s="15">
        <v>392</v>
      </c>
      <c r="E6" s="15">
        <v>12000</v>
      </c>
      <c r="F6" s="15">
        <f t="shared" si="0"/>
        <v>4704000</v>
      </c>
    </row>
    <row r="7" spans="1:6" x14ac:dyDescent="0.3">
      <c r="A7" s="5" t="s">
        <v>73</v>
      </c>
      <c r="B7" s="7">
        <v>45751</v>
      </c>
      <c r="C7" s="15">
        <v>1550</v>
      </c>
      <c r="D7" s="15">
        <v>1499</v>
      </c>
      <c r="E7" s="15">
        <v>7000</v>
      </c>
      <c r="F7" s="15">
        <f t="shared" si="0"/>
        <v>10493000</v>
      </c>
    </row>
    <row r="8" spans="1:6" x14ac:dyDescent="0.3">
      <c r="A8" s="5" t="s">
        <v>74</v>
      </c>
      <c r="B8" s="7">
        <v>45752</v>
      </c>
      <c r="C8" s="15">
        <v>300</v>
      </c>
      <c r="D8" s="15">
        <v>236</v>
      </c>
      <c r="E8" s="15">
        <v>11500</v>
      </c>
      <c r="F8" s="15">
        <f t="shared" si="0"/>
        <v>2714000</v>
      </c>
    </row>
    <row r="9" spans="1:6" x14ac:dyDescent="0.3">
      <c r="A9" s="5" t="s">
        <v>75</v>
      </c>
      <c r="B9" s="7">
        <v>45753</v>
      </c>
      <c r="C9" s="15">
        <v>800</v>
      </c>
      <c r="D9" s="15">
        <v>786</v>
      </c>
      <c r="E9" s="15">
        <v>4480</v>
      </c>
      <c r="F9" s="15">
        <f t="shared" si="0"/>
        <v>3521280</v>
      </c>
    </row>
    <row r="10" spans="1:6" x14ac:dyDescent="0.3">
      <c r="A10" s="5" t="s">
        <v>76</v>
      </c>
      <c r="B10" s="7">
        <v>45754</v>
      </c>
      <c r="C10" s="15">
        <v>250</v>
      </c>
      <c r="D10" s="15">
        <v>192</v>
      </c>
      <c r="E10" s="15">
        <v>13600</v>
      </c>
      <c r="F10" s="15">
        <f t="shared" si="0"/>
        <v>2611200</v>
      </c>
    </row>
    <row r="11" spans="1:6" x14ac:dyDescent="0.3">
      <c r="A11" s="5" t="s">
        <v>77</v>
      </c>
      <c r="B11" s="7">
        <v>45755</v>
      </c>
      <c r="C11" s="15">
        <v>150</v>
      </c>
      <c r="D11" s="15">
        <v>106</v>
      </c>
      <c r="E11" s="15">
        <v>23500</v>
      </c>
      <c r="F11" s="15">
        <f t="shared" si="0"/>
        <v>2491000</v>
      </c>
    </row>
    <row r="12" spans="1:6" x14ac:dyDescent="0.3">
      <c r="A12" s="5" t="s">
        <v>78</v>
      </c>
      <c r="B12" s="7">
        <v>45756</v>
      </c>
      <c r="C12" s="15">
        <v>200</v>
      </c>
      <c r="D12" s="15">
        <v>149</v>
      </c>
      <c r="E12" s="15">
        <v>32600</v>
      </c>
      <c r="F12" s="15">
        <f t="shared" si="0"/>
        <v>4857400</v>
      </c>
    </row>
    <row r="13" spans="1:6" x14ac:dyDescent="0.3">
      <c r="A13" s="5" t="s">
        <v>79</v>
      </c>
      <c r="B13" s="7">
        <v>45757</v>
      </c>
      <c r="C13" s="15">
        <v>300</v>
      </c>
      <c r="D13" s="15">
        <v>276</v>
      </c>
      <c r="E13" s="15">
        <v>15900</v>
      </c>
      <c r="F13" s="15">
        <f t="shared" si="0"/>
        <v>4388400</v>
      </c>
    </row>
    <row r="14" spans="1:6" x14ac:dyDescent="0.3">
      <c r="A14" s="5" t="s">
        <v>80</v>
      </c>
      <c r="B14" s="7">
        <v>45758</v>
      </c>
      <c r="C14" s="15">
        <v>450</v>
      </c>
      <c r="D14" s="15">
        <v>429</v>
      </c>
      <c r="E14" s="15">
        <v>9800</v>
      </c>
      <c r="F14" s="15">
        <f t="shared" si="0"/>
        <v>4204200</v>
      </c>
    </row>
    <row r="15" spans="1:6" x14ac:dyDescent="0.3">
      <c r="A15" s="5" t="s">
        <v>81</v>
      </c>
      <c r="B15" s="7">
        <v>45759</v>
      </c>
      <c r="C15" s="15">
        <v>350</v>
      </c>
      <c r="D15" s="15">
        <v>331</v>
      </c>
      <c r="E15" s="15">
        <v>11600</v>
      </c>
      <c r="F15" s="15">
        <f t="shared" si="0"/>
        <v>3839600</v>
      </c>
    </row>
  </sheetData>
  <mergeCells count="1">
    <mergeCell ref="A1:F1"/>
  </mergeCells>
  <phoneticPr fontId="1" type="noConversion"/>
  <conditionalFormatting sqref="A4:F15">
    <cfRule type="expression" dxfId="10" priority="1">
      <formula>$F4&gt;AVERAGE($F$4:F$15)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ABF1-A47E-4415-BC4F-3DB907FA8361}">
  <dimension ref="A1:K34"/>
  <sheetViews>
    <sheetView tabSelected="1" workbookViewId="0">
      <selection activeCell="E7" sqref="E7"/>
    </sheetView>
  </sheetViews>
  <sheetFormatPr defaultRowHeight="16.5" x14ac:dyDescent="0.3"/>
  <cols>
    <col min="2" max="2" width="10.75" bestFit="1" customWidth="1"/>
    <col min="4" max="4" width="12.375" bestFit="1" customWidth="1"/>
    <col min="5" max="5" width="8.625" customWidth="1"/>
    <col min="10" max="11" width="10.125" customWidth="1"/>
  </cols>
  <sheetData>
    <row r="1" spans="1:11" x14ac:dyDescent="0.3">
      <c r="A1" s="3" t="s">
        <v>23</v>
      </c>
      <c r="B1" s="4" t="s">
        <v>27</v>
      </c>
      <c r="F1" s="3" t="s">
        <v>171</v>
      </c>
      <c r="G1" s="4" t="s">
        <v>172</v>
      </c>
    </row>
    <row r="2" spans="1:11" x14ac:dyDescent="0.3">
      <c r="A2" s="5" t="s">
        <v>28</v>
      </c>
      <c r="B2" s="5" t="s">
        <v>24</v>
      </c>
      <c r="C2" s="5" t="s">
        <v>25</v>
      </c>
      <c r="D2" s="6" t="s">
        <v>26</v>
      </c>
      <c r="F2" s="5" t="s">
        <v>173</v>
      </c>
      <c r="G2" s="5" t="s">
        <v>174</v>
      </c>
      <c r="H2" s="5" t="s">
        <v>175</v>
      </c>
      <c r="J2" s="31" t="s">
        <v>176</v>
      </c>
      <c r="K2" s="32"/>
    </row>
    <row r="3" spans="1:11" x14ac:dyDescent="0.3">
      <c r="A3" s="5" t="s">
        <v>29</v>
      </c>
      <c r="B3" s="7">
        <v>45874</v>
      </c>
      <c r="C3" s="5">
        <v>5</v>
      </c>
      <c r="D3" s="7">
        <f>IF(WEEKDAY(B3+5,2)=6,B3+7,IF(WEEKDAY(B3+5,2)=7,B3+6,B3+5))</f>
        <v>45880</v>
      </c>
      <c r="F3" s="5" t="s">
        <v>184</v>
      </c>
      <c r="G3" s="5" t="s">
        <v>177</v>
      </c>
      <c r="H3" s="5">
        <v>84</v>
      </c>
      <c r="J3" s="33">
        <f>AVERAGE(DMIN(F2:H10,3,J9:J10),DMIN(F2:H10,3,K9:K10))</f>
        <v>65</v>
      </c>
      <c r="K3" s="34"/>
    </row>
    <row r="4" spans="1:11" x14ac:dyDescent="0.3">
      <c r="A4" s="5" t="s">
        <v>30</v>
      </c>
      <c r="B4" s="7">
        <v>45875</v>
      </c>
      <c r="C4" s="5">
        <v>3</v>
      </c>
      <c r="D4" s="7">
        <f t="shared" ref="D4:D10" si="0">IF(WEEKDAY(B4+5,2)=6,B4+7,IF(WEEKDAY(B4+5,2)=7,B4+6,B4+5))</f>
        <v>45880</v>
      </c>
      <c r="F4" s="5" t="s">
        <v>189</v>
      </c>
      <c r="G4" s="5" t="s">
        <v>178</v>
      </c>
      <c r="H4" s="5">
        <v>91</v>
      </c>
    </row>
    <row r="5" spans="1:11" x14ac:dyDescent="0.3">
      <c r="A5" s="5" t="s">
        <v>31</v>
      </c>
      <c r="B5" s="7">
        <v>45877</v>
      </c>
      <c r="C5" s="5">
        <v>6</v>
      </c>
      <c r="D5" s="7">
        <f t="shared" si="0"/>
        <v>45882</v>
      </c>
      <c r="F5" s="5" t="s">
        <v>186</v>
      </c>
      <c r="G5" s="5" t="s">
        <v>179</v>
      </c>
      <c r="H5" s="5">
        <v>62</v>
      </c>
    </row>
    <row r="6" spans="1:11" x14ac:dyDescent="0.3">
      <c r="A6" s="5" t="s">
        <v>32</v>
      </c>
      <c r="B6" s="7">
        <v>45878</v>
      </c>
      <c r="C6" s="5">
        <v>4</v>
      </c>
      <c r="D6" s="7">
        <f t="shared" si="0"/>
        <v>45883</v>
      </c>
      <c r="F6" s="5" t="s">
        <v>190</v>
      </c>
      <c r="G6" s="5" t="s">
        <v>179</v>
      </c>
      <c r="H6" s="5">
        <v>71</v>
      </c>
    </row>
    <row r="7" spans="1:11" x14ac:dyDescent="0.3">
      <c r="A7" s="5" t="s">
        <v>33</v>
      </c>
      <c r="B7" s="7">
        <v>45882</v>
      </c>
      <c r="C7" s="5">
        <v>3</v>
      </c>
      <c r="D7" s="7">
        <f t="shared" si="0"/>
        <v>45887</v>
      </c>
      <c r="F7" s="5" t="s">
        <v>191</v>
      </c>
      <c r="G7" s="5" t="s">
        <v>178</v>
      </c>
      <c r="H7" s="5">
        <v>88</v>
      </c>
    </row>
    <row r="8" spans="1:11" x14ac:dyDescent="0.3">
      <c r="A8" s="5" t="s">
        <v>34</v>
      </c>
      <c r="B8" s="7">
        <v>45885</v>
      </c>
      <c r="C8" s="5">
        <v>4</v>
      </c>
      <c r="D8" s="7">
        <f t="shared" si="0"/>
        <v>45890</v>
      </c>
      <c r="F8" s="5" t="s">
        <v>185</v>
      </c>
      <c r="G8" s="5" t="s">
        <v>177</v>
      </c>
      <c r="H8" s="5">
        <v>93</v>
      </c>
      <c r="J8" s="35" t="s">
        <v>180</v>
      </c>
      <c r="K8" s="35"/>
    </row>
    <row r="9" spans="1:11" x14ac:dyDescent="0.3">
      <c r="A9" s="5" t="s">
        <v>35</v>
      </c>
      <c r="B9" s="7">
        <v>45889</v>
      </c>
      <c r="C9" s="5">
        <v>6</v>
      </c>
      <c r="D9" s="7">
        <f t="shared" si="0"/>
        <v>45894</v>
      </c>
      <c r="F9" s="5" t="s">
        <v>188</v>
      </c>
      <c r="G9" s="5" t="s">
        <v>178</v>
      </c>
      <c r="H9" s="5">
        <v>68</v>
      </c>
      <c r="J9" s="5" t="s">
        <v>181</v>
      </c>
      <c r="K9" s="5" t="s">
        <v>181</v>
      </c>
    </row>
    <row r="10" spans="1:11" x14ac:dyDescent="0.3">
      <c r="A10" s="5" t="s">
        <v>36</v>
      </c>
      <c r="B10" s="7">
        <v>45891</v>
      </c>
      <c r="C10" s="5">
        <v>5</v>
      </c>
      <c r="D10" s="7">
        <f t="shared" si="0"/>
        <v>45896</v>
      </c>
      <c r="F10" s="5" t="s">
        <v>187</v>
      </c>
      <c r="G10" s="5" t="s">
        <v>177</v>
      </c>
      <c r="H10" s="5">
        <v>79</v>
      </c>
      <c r="J10" s="5" t="s">
        <v>182</v>
      </c>
      <c r="K10" s="5" t="s">
        <v>183</v>
      </c>
    </row>
    <row r="12" spans="1:11" x14ac:dyDescent="0.3">
      <c r="A12" s="25" t="s">
        <v>192</v>
      </c>
      <c r="B12" s="26" t="s">
        <v>206</v>
      </c>
      <c r="F12" s="3" t="s">
        <v>218</v>
      </c>
      <c r="G12" s="4" t="s">
        <v>219</v>
      </c>
    </row>
    <row r="13" spans="1:11" x14ac:dyDescent="0.3">
      <c r="A13" s="5" t="s">
        <v>193</v>
      </c>
      <c r="B13" s="5" t="s">
        <v>194</v>
      </c>
      <c r="C13" s="5" t="s">
        <v>195</v>
      </c>
      <c r="D13" s="6" t="s">
        <v>196</v>
      </c>
      <c r="F13" s="5" t="s">
        <v>220</v>
      </c>
      <c r="G13" s="5" t="s">
        <v>221</v>
      </c>
      <c r="H13" s="5" t="s">
        <v>222</v>
      </c>
      <c r="I13" s="5" t="s">
        <v>223</v>
      </c>
      <c r="J13" s="5" t="s">
        <v>224</v>
      </c>
    </row>
    <row r="14" spans="1:11" x14ac:dyDescent="0.3">
      <c r="A14" s="5" t="s">
        <v>209</v>
      </c>
      <c r="B14" s="7">
        <v>45755</v>
      </c>
      <c r="C14" s="5" t="s">
        <v>202</v>
      </c>
      <c r="D14" s="5" t="str">
        <f>CHOOSE(MID(A14,4,1),"일반석","비즈니스석","일등석")</f>
        <v>비즈니스석</v>
      </c>
      <c r="F14" s="5" t="s">
        <v>225</v>
      </c>
      <c r="G14" s="5">
        <v>33</v>
      </c>
      <c r="H14" s="15">
        <v>34400</v>
      </c>
      <c r="I14" s="5">
        <v>200</v>
      </c>
      <c r="J14" s="5" t="s">
        <v>226</v>
      </c>
    </row>
    <row r="15" spans="1:11" x14ac:dyDescent="0.3">
      <c r="A15" s="5" t="s">
        <v>210</v>
      </c>
      <c r="B15" s="7">
        <v>45757</v>
      </c>
      <c r="C15" s="5" t="s">
        <v>199</v>
      </c>
      <c r="D15" s="5" t="str">
        <f t="shared" ref="D15:D23" si="1">CHOOSE(MID(A15,4,1),"일반석","비즈니스석","일등석")</f>
        <v>일등석</v>
      </c>
      <c r="F15" s="5" t="s">
        <v>227</v>
      </c>
      <c r="G15" s="5">
        <v>11</v>
      </c>
      <c r="H15" s="15">
        <v>68200</v>
      </c>
      <c r="I15" s="5">
        <v>120</v>
      </c>
      <c r="J15" s="5" t="s">
        <v>226</v>
      </c>
    </row>
    <row r="16" spans="1:11" x14ac:dyDescent="0.3">
      <c r="A16" s="5" t="s">
        <v>211</v>
      </c>
      <c r="B16" s="7">
        <v>45758</v>
      </c>
      <c r="C16" s="5" t="s">
        <v>208</v>
      </c>
      <c r="D16" s="5" t="str">
        <f t="shared" si="1"/>
        <v>일반석</v>
      </c>
      <c r="F16" s="5" t="s">
        <v>228</v>
      </c>
      <c r="G16" s="5">
        <v>33</v>
      </c>
      <c r="H16" s="15">
        <v>22800</v>
      </c>
      <c r="I16" s="5">
        <v>240</v>
      </c>
      <c r="J16" s="5" t="s">
        <v>226</v>
      </c>
    </row>
    <row r="17" spans="1:10" x14ac:dyDescent="0.3">
      <c r="A17" s="5" t="s">
        <v>201</v>
      </c>
      <c r="B17" s="7">
        <v>45758</v>
      </c>
      <c r="C17" s="5" t="s">
        <v>204</v>
      </c>
      <c r="D17" s="5" t="str">
        <f t="shared" si="1"/>
        <v>비즈니스석</v>
      </c>
      <c r="F17" s="5" t="s">
        <v>229</v>
      </c>
      <c r="G17" s="5">
        <v>22</v>
      </c>
      <c r="H17" s="15">
        <v>15000</v>
      </c>
      <c r="I17" s="5">
        <v>100</v>
      </c>
      <c r="J17" s="5" t="s">
        <v>230</v>
      </c>
    </row>
    <row r="18" spans="1:10" x14ac:dyDescent="0.3">
      <c r="A18" s="5" t="s">
        <v>212</v>
      </c>
      <c r="B18" s="7">
        <v>45763</v>
      </c>
      <c r="C18" s="5" t="s">
        <v>205</v>
      </c>
      <c r="D18" s="5" t="str">
        <f t="shared" si="1"/>
        <v>일등석</v>
      </c>
      <c r="F18" s="5" t="s">
        <v>231</v>
      </c>
      <c r="G18" s="5">
        <v>11</v>
      </c>
      <c r="H18" s="15">
        <v>31000</v>
      </c>
      <c r="I18" s="5">
        <v>300</v>
      </c>
      <c r="J18" s="5" t="s">
        <v>230</v>
      </c>
    </row>
    <row r="19" spans="1:10" x14ac:dyDescent="0.3">
      <c r="A19" s="5" t="s">
        <v>213</v>
      </c>
      <c r="B19" s="7">
        <v>45765</v>
      </c>
      <c r="C19" s="5" t="s">
        <v>207</v>
      </c>
      <c r="D19" s="5" t="str">
        <f t="shared" si="1"/>
        <v>일반석</v>
      </c>
      <c r="F19" s="5" t="s">
        <v>232</v>
      </c>
      <c r="G19" s="5">
        <v>22</v>
      </c>
      <c r="H19" s="15">
        <v>29400</v>
      </c>
      <c r="I19" s="5">
        <v>140</v>
      </c>
      <c r="J19" s="5" t="s">
        <v>230</v>
      </c>
    </row>
    <row r="20" spans="1:10" x14ac:dyDescent="0.3">
      <c r="A20" s="5" t="s">
        <v>214</v>
      </c>
      <c r="B20" s="7">
        <v>45765</v>
      </c>
      <c r="C20" s="5" t="s">
        <v>197</v>
      </c>
      <c r="D20" s="5" t="str">
        <f t="shared" si="1"/>
        <v>일반석</v>
      </c>
      <c r="F20" s="5" t="s">
        <v>233</v>
      </c>
      <c r="G20" s="5">
        <v>33</v>
      </c>
      <c r="H20" s="15">
        <v>30100</v>
      </c>
      <c r="I20" s="5">
        <v>350</v>
      </c>
      <c r="J20" s="5" t="s">
        <v>230</v>
      </c>
    </row>
    <row r="21" spans="1:10" x14ac:dyDescent="0.3">
      <c r="A21" s="5" t="s">
        <v>215</v>
      </c>
      <c r="B21" s="7">
        <v>45769</v>
      </c>
      <c r="C21" s="5" t="s">
        <v>200</v>
      </c>
      <c r="D21" s="5" t="str">
        <f t="shared" si="1"/>
        <v>일반석</v>
      </c>
      <c r="F21" s="5" t="s">
        <v>234</v>
      </c>
      <c r="G21" s="5">
        <v>33</v>
      </c>
      <c r="H21" s="15">
        <v>27600</v>
      </c>
      <c r="I21" s="5">
        <v>320</v>
      </c>
      <c r="J21" s="5" t="s">
        <v>235</v>
      </c>
    </row>
    <row r="22" spans="1:10" x14ac:dyDescent="0.3">
      <c r="A22" s="5" t="s">
        <v>216</v>
      </c>
      <c r="B22" s="7">
        <v>45771</v>
      </c>
      <c r="C22" s="5" t="s">
        <v>198</v>
      </c>
      <c r="D22" s="5" t="str">
        <f t="shared" si="1"/>
        <v>비즈니스석</v>
      </c>
      <c r="F22" s="5" t="s">
        <v>236</v>
      </c>
      <c r="G22" s="5">
        <v>22</v>
      </c>
      <c r="H22" s="15">
        <v>12800</v>
      </c>
      <c r="I22" s="5">
        <v>170</v>
      </c>
      <c r="J22" s="5" t="s">
        <v>235</v>
      </c>
    </row>
    <row r="23" spans="1:10" x14ac:dyDescent="0.3">
      <c r="A23" s="5" t="s">
        <v>217</v>
      </c>
      <c r="B23" s="7">
        <v>45771</v>
      </c>
      <c r="C23" s="5" t="s">
        <v>203</v>
      </c>
      <c r="D23" s="5" t="str">
        <f t="shared" si="1"/>
        <v>일등석</v>
      </c>
      <c r="F23" s="31" t="s">
        <v>237</v>
      </c>
      <c r="G23" s="36"/>
      <c r="H23" s="36"/>
      <c r="I23" s="32"/>
      <c r="J23" s="5" t="str">
        <f>COUNTIF(G14:G22,_xlfn.MODE.SNGL(G14:G22))&amp;"개"</f>
        <v>4개</v>
      </c>
    </row>
    <row r="25" spans="1:10" x14ac:dyDescent="0.3">
      <c r="A25" s="3" t="s">
        <v>238</v>
      </c>
      <c r="B25" s="4" t="s">
        <v>239</v>
      </c>
    </row>
    <row r="26" spans="1:10" x14ac:dyDescent="0.3">
      <c r="A26" s="5" t="s">
        <v>240</v>
      </c>
      <c r="B26" s="5" t="s">
        <v>241</v>
      </c>
      <c r="C26" s="5" t="s">
        <v>242</v>
      </c>
      <c r="D26" s="6" t="s">
        <v>243</v>
      </c>
      <c r="F26" s="35" t="s">
        <v>244</v>
      </c>
      <c r="G26" s="35"/>
      <c r="H26" s="35"/>
    </row>
    <row r="27" spans="1:10" x14ac:dyDescent="0.3">
      <c r="A27" s="5" t="s">
        <v>245</v>
      </c>
      <c r="B27" s="5">
        <v>2023</v>
      </c>
      <c r="C27" s="5" t="s">
        <v>264</v>
      </c>
      <c r="D27" s="5" t="str">
        <f>VLOOKUP(LEFT(A27,2),$F$28:$H$31,3,FALSE)</f>
        <v>디자인</v>
      </c>
      <c r="F27" s="5" t="s">
        <v>246</v>
      </c>
      <c r="G27" s="5" t="s">
        <v>247</v>
      </c>
      <c r="H27" s="5" t="s">
        <v>248</v>
      </c>
    </row>
    <row r="28" spans="1:10" x14ac:dyDescent="0.3">
      <c r="A28" s="5" t="s">
        <v>249</v>
      </c>
      <c r="B28" s="5">
        <v>2023</v>
      </c>
      <c r="C28" s="5" t="s">
        <v>265</v>
      </c>
      <c r="D28" s="5" t="str">
        <f t="shared" ref="D28:D34" si="2">VLOOKUP(LEFT(A28,2),$F$28:$H$31,3,FALSE)</f>
        <v>미디어</v>
      </c>
      <c r="F28" s="5" t="s">
        <v>250</v>
      </c>
      <c r="G28" s="5" t="s">
        <v>272</v>
      </c>
      <c r="H28" s="5" t="s">
        <v>251</v>
      </c>
    </row>
    <row r="29" spans="1:10" x14ac:dyDescent="0.3">
      <c r="A29" s="5" t="s">
        <v>252</v>
      </c>
      <c r="B29" s="5">
        <v>2024</v>
      </c>
      <c r="C29" s="5" t="s">
        <v>266</v>
      </c>
      <c r="D29" s="5" t="str">
        <f t="shared" si="2"/>
        <v>실용음악</v>
      </c>
      <c r="F29" s="5" t="s">
        <v>253</v>
      </c>
      <c r="G29" s="5" t="s">
        <v>273</v>
      </c>
      <c r="H29" s="5" t="s">
        <v>254</v>
      </c>
    </row>
    <row r="30" spans="1:10" x14ac:dyDescent="0.3">
      <c r="A30" s="5" t="s">
        <v>255</v>
      </c>
      <c r="B30" s="5">
        <v>2024</v>
      </c>
      <c r="C30" s="5" t="s">
        <v>267</v>
      </c>
      <c r="D30" s="5" t="str">
        <f t="shared" si="2"/>
        <v>디자인</v>
      </c>
      <c r="F30" s="5" t="s">
        <v>256</v>
      </c>
      <c r="G30" s="5" t="s">
        <v>274</v>
      </c>
      <c r="H30" s="5" t="s">
        <v>257</v>
      </c>
    </row>
    <row r="31" spans="1:10" x14ac:dyDescent="0.3">
      <c r="A31" s="5" t="s">
        <v>258</v>
      </c>
      <c r="B31" s="5">
        <v>2024</v>
      </c>
      <c r="C31" s="5" t="s">
        <v>268</v>
      </c>
      <c r="D31" s="5" t="str">
        <f t="shared" si="2"/>
        <v>문예창작</v>
      </c>
      <c r="F31" s="5" t="s">
        <v>259</v>
      </c>
      <c r="G31" s="5" t="s">
        <v>275</v>
      </c>
      <c r="H31" s="5" t="s">
        <v>260</v>
      </c>
    </row>
    <row r="32" spans="1:10" x14ac:dyDescent="0.3">
      <c r="A32" s="5" t="s">
        <v>261</v>
      </c>
      <c r="B32" s="5">
        <v>2025</v>
      </c>
      <c r="C32" s="5" t="s">
        <v>269</v>
      </c>
      <c r="D32" s="5" t="str">
        <f t="shared" si="2"/>
        <v>미디어</v>
      </c>
    </row>
    <row r="33" spans="1:4" x14ac:dyDescent="0.3">
      <c r="A33" s="5" t="s">
        <v>262</v>
      </c>
      <c r="B33" s="5">
        <v>2025</v>
      </c>
      <c r="C33" s="5" t="s">
        <v>270</v>
      </c>
      <c r="D33" s="5" t="str">
        <f t="shared" si="2"/>
        <v>실용음악</v>
      </c>
    </row>
    <row r="34" spans="1:4" x14ac:dyDescent="0.3">
      <c r="A34" s="5" t="s">
        <v>263</v>
      </c>
      <c r="B34" s="5">
        <v>2025</v>
      </c>
      <c r="C34" s="5" t="s">
        <v>271</v>
      </c>
      <c r="D34" s="5" t="str">
        <f t="shared" si="2"/>
        <v>문예창작</v>
      </c>
    </row>
  </sheetData>
  <mergeCells count="5">
    <mergeCell ref="J2:K2"/>
    <mergeCell ref="J3:K3"/>
    <mergeCell ref="J8:K8"/>
    <mergeCell ref="F23:I23"/>
    <mergeCell ref="F26:H2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7E17-4C71-46EA-BD07-8E87C4F964C9}">
  <dimension ref="A1:F23"/>
  <sheetViews>
    <sheetView workbookViewId="0">
      <selection sqref="A1:F1"/>
    </sheetView>
  </sheetViews>
  <sheetFormatPr defaultRowHeight="16.5" outlineLevelRow="3" x14ac:dyDescent="0.3"/>
  <cols>
    <col min="2" max="2" width="14" bestFit="1" customWidth="1"/>
    <col min="3" max="6" width="13.125" customWidth="1"/>
  </cols>
  <sheetData>
    <row r="1" spans="1:6" ht="20.25" x14ac:dyDescent="0.3">
      <c r="A1" s="30" t="s">
        <v>82</v>
      </c>
      <c r="B1" s="30"/>
      <c r="C1" s="30"/>
      <c r="D1" s="30"/>
      <c r="E1" s="30"/>
      <c r="F1" s="30"/>
    </row>
    <row r="3" spans="1:6" x14ac:dyDescent="0.3">
      <c r="A3" s="9" t="s">
        <v>83</v>
      </c>
      <c r="B3" s="9" t="s">
        <v>84</v>
      </c>
      <c r="C3" s="9" t="s">
        <v>85</v>
      </c>
      <c r="D3" s="9" t="s">
        <v>86</v>
      </c>
      <c r="E3" s="9" t="s">
        <v>87</v>
      </c>
      <c r="F3" s="9" t="s">
        <v>88</v>
      </c>
    </row>
    <row r="4" spans="1:6" outlineLevel="3" x14ac:dyDescent="0.3">
      <c r="A4" s="5" t="s">
        <v>93</v>
      </c>
      <c r="B4" s="5" t="s">
        <v>94</v>
      </c>
      <c r="C4" s="15">
        <v>53610000</v>
      </c>
      <c r="D4" s="15">
        <v>70770000</v>
      </c>
      <c r="E4" s="15">
        <v>78550000</v>
      </c>
      <c r="F4" s="15">
        <f>SUM(C4:E4)</f>
        <v>202930000</v>
      </c>
    </row>
    <row r="5" spans="1:6" outlineLevel="3" x14ac:dyDescent="0.3">
      <c r="A5" s="5" t="s">
        <v>99</v>
      </c>
      <c r="B5" s="5" t="s">
        <v>94</v>
      </c>
      <c r="C5" s="15">
        <v>62800000</v>
      </c>
      <c r="D5" s="15">
        <v>76620000</v>
      </c>
      <c r="E5" s="15">
        <v>80410000</v>
      </c>
      <c r="F5" s="15">
        <f>SUM(C5:E5)</f>
        <v>219830000</v>
      </c>
    </row>
    <row r="6" spans="1:6" outlineLevel="3" x14ac:dyDescent="0.3">
      <c r="A6" s="5" t="s">
        <v>100</v>
      </c>
      <c r="B6" s="5" t="s">
        <v>94</v>
      </c>
      <c r="C6" s="15">
        <v>51650000</v>
      </c>
      <c r="D6" s="15">
        <v>49070000</v>
      </c>
      <c r="E6" s="15">
        <v>43580000</v>
      </c>
      <c r="F6" s="15">
        <f>SUM(C6:E6)</f>
        <v>144300000</v>
      </c>
    </row>
    <row r="7" spans="1:6" outlineLevel="3" x14ac:dyDescent="0.3">
      <c r="A7" s="5" t="s">
        <v>103</v>
      </c>
      <c r="B7" s="5" t="s">
        <v>94</v>
      </c>
      <c r="C7" s="15">
        <v>56930000</v>
      </c>
      <c r="D7" s="15">
        <v>72880000</v>
      </c>
      <c r="E7" s="15">
        <v>77420000</v>
      </c>
      <c r="F7" s="15">
        <f>SUM(C7:E7)</f>
        <v>207230000</v>
      </c>
    </row>
    <row r="8" spans="1:6" outlineLevel="2" x14ac:dyDescent="0.3">
      <c r="A8" s="5"/>
      <c r="B8" s="19" t="s">
        <v>108</v>
      </c>
      <c r="C8" s="15"/>
      <c r="D8" s="15"/>
      <c r="E8" s="15"/>
      <c r="F8" s="15">
        <f>SUBTOTAL(1,F4:F7)</f>
        <v>193572500</v>
      </c>
    </row>
    <row r="9" spans="1:6" outlineLevel="1" x14ac:dyDescent="0.3">
      <c r="A9" s="5"/>
      <c r="B9" s="16" t="s">
        <v>104</v>
      </c>
      <c r="C9" s="15">
        <f>SUBTOTAL(9,C4:C7)</f>
        <v>224990000</v>
      </c>
      <c r="D9" s="15">
        <f>SUBTOTAL(9,D4:D7)</f>
        <v>269340000</v>
      </c>
      <c r="E9" s="15">
        <f>SUBTOTAL(9,E4:E7)</f>
        <v>279960000</v>
      </c>
      <c r="F9" s="15"/>
    </row>
    <row r="10" spans="1:6" outlineLevel="3" x14ac:dyDescent="0.3">
      <c r="A10" s="5" t="s">
        <v>91</v>
      </c>
      <c r="B10" s="5" t="s">
        <v>92</v>
      </c>
      <c r="C10" s="15">
        <v>36720000</v>
      </c>
      <c r="D10" s="15">
        <v>34890000</v>
      </c>
      <c r="E10" s="15">
        <v>34190000</v>
      </c>
      <c r="F10" s="15">
        <f>SUM(C10:E10)</f>
        <v>105800000</v>
      </c>
    </row>
    <row r="11" spans="1:6" outlineLevel="3" x14ac:dyDescent="0.3">
      <c r="A11" s="5" t="s">
        <v>95</v>
      </c>
      <c r="B11" s="5" t="s">
        <v>92</v>
      </c>
      <c r="C11" s="15">
        <v>46300000</v>
      </c>
      <c r="D11" s="15">
        <v>51860000</v>
      </c>
      <c r="E11" s="15">
        <v>48220000</v>
      </c>
      <c r="F11" s="15">
        <f>SUM(C11:E11)</f>
        <v>146380000</v>
      </c>
    </row>
    <row r="12" spans="1:6" outlineLevel="3" x14ac:dyDescent="0.3">
      <c r="A12" s="5" t="s">
        <v>96</v>
      </c>
      <c r="B12" s="5" t="s">
        <v>92</v>
      </c>
      <c r="C12" s="15">
        <v>55040000</v>
      </c>
      <c r="D12" s="15">
        <v>59450000</v>
      </c>
      <c r="E12" s="15">
        <v>65740000</v>
      </c>
      <c r="F12" s="15">
        <f>SUM(C12:E12)</f>
        <v>180230000</v>
      </c>
    </row>
    <row r="13" spans="1:6" outlineLevel="3" x14ac:dyDescent="0.3">
      <c r="A13" s="5" t="s">
        <v>102</v>
      </c>
      <c r="B13" s="5" t="s">
        <v>92</v>
      </c>
      <c r="C13" s="15">
        <v>46050000</v>
      </c>
      <c r="D13" s="15">
        <v>38230000</v>
      </c>
      <c r="E13" s="15">
        <v>45870000</v>
      </c>
      <c r="F13" s="15">
        <f>SUM(C13:E13)</f>
        <v>130150000</v>
      </c>
    </row>
    <row r="14" spans="1:6" outlineLevel="2" x14ac:dyDescent="0.3">
      <c r="A14" s="5"/>
      <c r="B14" s="16" t="s">
        <v>109</v>
      </c>
      <c r="C14" s="15"/>
      <c r="D14" s="15"/>
      <c r="E14" s="15"/>
      <c r="F14" s="15">
        <f>SUBTOTAL(1,F10:F13)</f>
        <v>140640000</v>
      </c>
    </row>
    <row r="15" spans="1:6" outlineLevel="1" x14ac:dyDescent="0.3">
      <c r="A15" s="5"/>
      <c r="B15" s="16" t="s">
        <v>105</v>
      </c>
      <c r="C15" s="15">
        <f>SUBTOTAL(9,C10:C13)</f>
        <v>184110000</v>
      </c>
      <c r="D15" s="15">
        <f>SUBTOTAL(9,D10:D13)</f>
        <v>184430000</v>
      </c>
      <c r="E15" s="15">
        <f>SUBTOTAL(9,E10:E13)</f>
        <v>194020000</v>
      </c>
      <c r="F15" s="15"/>
    </row>
    <row r="16" spans="1:6" outlineLevel="3" x14ac:dyDescent="0.3">
      <c r="A16" s="5" t="s">
        <v>89</v>
      </c>
      <c r="B16" s="5" t="s">
        <v>90</v>
      </c>
      <c r="C16" s="15">
        <v>49540000</v>
      </c>
      <c r="D16" s="15">
        <v>57970000</v>
      </c>
      <c r="E16" s="15">
        <v>51590000</v>
      </c>
      <c r="F16" s="15">
        <f>SUM(C16:E16)</f>
        <v>159100000</v>
      </c>
    </row>
    <row r="17" spans="1:6" outlineLevel="3" x14ac:dyDescent="0.3">
      <c r="A17" s="5" t="s">
        <v>97</v>
      </c>
      <c r="B17" s="5" t="s">
        <v>90</v>
      </c>
      <c r="C17" s="15">
        <v>35000000</v>
      </c>
      <c r="D17" s="15">
        <v>26950000</v>
      </c>
      <c r="E17" s="15">
        <v>36200000</v>
      </c>
      <c r="F17" s="15">
        <f>SUM(C17:E17)</f>
        <v>98150000</v>
      </c>
    </row>
    <row r="18" spans="1:6" outlineLevel="3" x14ac:dyDescent="0.3">
      <c r="A18" s="5" t="s">
        <v>98</v>
      </c>
      <c r="B18" s="5" t="s">
        <v>90</v>
      </c>
      <c r="C18" s="15">
        <v>49350000</v>
      </c>
      <c r="D18" s="15">
        <v>45900000</v>
      </c>
      <c r="E18" s="15">
        <v>44980000</v>
      </c>
      <c r="F18" s="15">
        <f>SUM(C18:E18)</f>
        <v>140230000</v>
      </c>
    </row>
    <row r="19" spans="1:6" outlineLevel="3" x14ac:dyDescent="0.3">
      <c r="A19" s="5" t="s">
        <v>101</v>
      </c>
      <c r="B19" s="5" t="s">
        <v>90</v>
      </c>
      <c r="C19" s="15">
        <v>60420000</v>
      </c>
      <c r="D19" s="15">
        <v>67070000</v>
      </c>
      <c r="E19" s="15">
        <v>63710000</v>
      </c>
      <c r="F19" s="15">
        <f>SUM(C19:E19)</f>
        <v>191200000</v>
      </c>
    </row>
    <row r="20" spans="1:6" outlineLevel="2" x14ac:dyDescent="0.3">
      <c r="A20" s="1"/>
      <c r="B20" s="18" t="s">
        <v>110</v>
      </c>
      <c r="C20" s="17"/>
      <c r="D20" s="17"/>
      <c r="E20" s="17"/>
      <c r="F20" s="17">
        <f>SUBTOTAL(1,F16:F19)</f>
        <v>147170000</v>
      </c>
    </row>
    <row r="21" spans="1:6" outlineLevel="1" x14ac:dyDescent="0.3">
      <c r="A21" s="1"/>
      <c r="B21" s="18" t="s">
        <v>106</v>
      </c>
      <c r="C21" s="17">
        <f>SUBTOTAL(9,C16:C19)</f>
        <v>194310000</v>
      </c>
      <c r="D21" s="17">
        <f>SUBTOTAL(9,D16:D19)</f>
        <v>197890000</v>
      </c>
      <c r="E21" s="17">
        <f>SUBTOTAL(9,E16:E19)</f>
        <v>196480000</v>
      </c>
      <c r="F21" s="17"/>
    </row>
    <row r="22" spans="1:6" x14ac:dyDescent="0.3">
      <c r="A22" s="1"/>
      <c r="B22" s="18" t="s">
        <v>111</v>
      </c>
      <c r="C22" s="17"/>
      <c r="D22" s="17"/>
      <c r="E22" s="17"/>
      <c r="F22" s="17">
        <f>SUBTOTAL(1,F4:F19)</f>
        <v>160460833.33333334</v>
      </c>
    </row>
    <row r="23" spans="1:6" x14ac:dyDescent="0.3">
      <c r="A23" s="1"/>
      <c r="B23" s="18" t="s">
        <v>107</v>
      </c>
      <c r="C23" s="17">
        <f>SUBTOTAL(9,C4:C19)</f>
        <v>603410000</v>
      </c>
      <c r="D23" s="17">
        <f>SUBTOTAL(9,D4:D19)</f>
        <v>651660000</v>
      </c>
      <c r="E23" s="17">
        <f>SUBTOTAL(9,E4:E19)</f>
        <v>670460000</v>
      </c>
      <c r="F23" s="17"/>
    </row>
  </sheetData>
  <sortState xmlns:xlrd2="http://schemas.microsoft.com/office/spreadsheetml/2017/richdata2" ref="A4:F19">
    <sortCondition ref="B4:B19"/>
  </sortState>
  <mergeCells count="1">
    <mergeCell ref="A1:F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CE92B-0414-4BEC-8C86-3C1D488E8E04}">
  <dimension ref="A1:G26"/>
  <sheetViews>
    <sheetView workbookViewId="0">
      <selection sqref="A1:F1"/>
    </sheetView>
  </sheetViews>
  <sheetFormatPr defaultRowHeight="16.5" x14ac:dyDescent="0.3"/>
  <cols>
    <col min="1" max="1" width="11.375" bestFit="1" customWidth="1"/>
    <col min="2" max="2" width="12.5" bestFit="1" customWidth="1"/>
    <col min="3" max="3" width="14.5" bestFit="1" customWidth="1"/>
    <col min="4" max="4" width="12.5" bestFit="1" customWidth="1"/>
    <col min="5" max="5" width="14.5" bestFit="1" customWidth="1"/>
    <col min="6" max="6" width="12.5" bestFit="1" customWidth="1"/>
    <col min="7" max="7" width="14.5" bestFit="1" customWidth="1"/>
    <col min="8" max="8" width="17.125" bestFit="1" customWidth="1"/>
    <col min="9" max="9" width="19.125" bestFit="1" customWidth="1"/>
  </cols>
  <sheetData>
    <row r="1" spans="1:6" ht="20.25" x14ac:dyDescent="0.3">
      <c r="A1" s="30" t="s">
        <v>112</v>
      </c>
      <c r="B1" s="30"/>
      <c r="C1" s="30"/>
      <c r="D1" s="30"/>
      <c r="E1" s="30"/>
      <c r="F1" s="30"/>
    </row>
    <row r="3" spans="1:6" x14ac:dyDescent="0.3">
      <c r="A3" s="5" t="s">
        <v>113</v>
      </c>
      <c r="B3" s="5" t="s">
        <v>114</v>
      </c>
      <c r="C3" s="5" t="s">
        <v>115</v>
      </c>
      <c r="D3" s="5" t="s">
        <v>116</v>
      </c>
      <c r="E3" s="5" t="s">
        <v>117</v>
      </c>
      <c r="F3" s="5" t="s">
        <v>118</v>
      </c>
    </row>
    <row r="4" spans="1:6" x14ac:dyDescent="0.3">
      <c r="A4" s="5" t="s">
        <v>119</v>
      </c>
      <c r="B4" s="5" t="s">
        <v>120</v>
      </c>
      <c r="C4" s="5" t="s">
        <v>121</v>
      </c>
      <c r="D4" s="5">
        <v>28</v>
      </c>
      <c r="E4" s="15">
        <v>1056000</v>
      </c>
      <c r="F4" s="15">
        <f>D4*E4</f>
        <v>29568000</v>
      </c>
    </row>
    <row r="5" spans="1:6" x14ac:dyDescent="0.3">
      <c r="A5" s="5" t="s">
        <v>122</v>
      </c>
      <c r="B5" s="5" t="s">
        <v>123</v>
      </c>
      <c r="C5" s="5" t="s">
        <v>124</v>
      </c>
      <c r="D5" s="5">
        <v>35</v>
      </c>
      <c r="E5" s="15">
        <v>289000</v>
      </c>
      <c r="F5" s="15">
        <f t="shared" ref="F5:F15" si="0">D5*E5</f>
        <v>10115000</v>
      </c>
    </row>
    <row r="6" spans="1:6" x14ac:dyDescent="0.3">
      <c r="A6" s="5" t="s">
        <v>125</v>
      </c>
      <c r="B6" s="5" t="s">
        <v>120</v>
      </c>
      <c r="C6" s="5" t="s">
        <v>126</v>
      </c>
      <c r="D6" s="5">
        <v>19</v>
      </c>
      <c r="E6" s="15">
        <v>1950000</v>
      </c>
      <c r="F6" s="15">
        <f t="shared" si="0"/>
        <v>37050000</v>
      </c>
    </row>
    <row r="7" spans="1:6" x14ac:dyDescent="0.3">
      <c r="A7" s="5" t="s">
        <v>127</v>
      </c>
      <c r="B7" s="5" t="s">
        <v>128</v>
      </c>
      <c r="C7" s="5" t="s">
        <v>129</v>
      </c>
      <c r="D7" s="5">
        <v>61</v>
      </c>
      <c r="E7" s="15">
        <v>699000</v>
      </c>
      <c r="F7" s="15">
        <f t="shared" si="0"/>
        <v>42639000</v>
      </c>
    </row>
    <row r="8" spans="1:6" x14ac:dyDescent="0.3">
      <c r="A8" s="5" t="s">
        <v>119</v>
      </c>
      <c r="B8" s="5" t="s">
        <v>128</v>
      </c>
      <c r="C8" s="5" t="s">
        <v>130</v>
      </c>
      <c r="D8" s="5">
        <v>53</v>
      </c>
      <c r="E8" s="15">
        <v>1056000</v>
      </c>
      <c r="F8" s="15">
        <f t="shared" si="0"/>
        <v>55968000</v>
      </c>
    </row>
    <row r="9" spans="1:6" x14ac:dyDescent="0.3">
      <c r="A9" s="5" t="s">
        <v>131</v>
      </c>
      <c r="B9" s="5" t="s">
        <v>120</v>
      </c>
      <c r="C9" s="5" t="s">
        <v>132</v>
      </c>
      <c r="D9" s="5">
        <v>27</v>
      </c>
      <c r="E9" s="15">
        <v>376000</v>
      </c>
      <c r="F9" s="15">
        <f t="shared" si="0"/>
        <v>10152000</v>
      </c>
    </row>
    <row r="10" spans="1:6" x14ac:dyDescent="0.3">
      <c r="A10" s="5" t="s">
        <v>125</v>
      </c>
      <c r="B10" s="5" t="s">
        <v>128</v>
      </c>
      <c r="C10" s="5" t="s">
        <v>133</v>
      </c>
      <c r="D10" s="5">
        <v>22</v>
      </c>
      <c r="E10" s="15">
        <v>1950000</v>
      </c>
      <c r="F10" s="15">
        <f t="shared" si="0"/>
        <v>42900000</v>
      </c>
    </row>
    <row r="11" spans="1:6" x14ac:dyDescent="0.3">
      <c r="A11" s="5" t="s">
        <v>131</v>
      </c>
      <c r="B11" s="5" t="s">
        <v>123</v>
      </c>
      <c r="C11" s="5" t="s">
        <v>134</v>
      </c>
      <c r="D11" s="5">
        <v>15</v>
      </c>
      <c r="E11" s="15">
        <v>376000</v>
      </c>
      <c r="F11" s="15">
        <f t="shared" si="0"/>
        <v>5640000</v>
      </c>
    </row>
    <row r="12" spans="1:6" x14ac:dyDescent="0.3">
      <c r="A12" s="5" t="s">
        <v>119</v>
      </c>
      <c r="B12" s="5" t="s">
        <v>123</v>
      </c>
      <c r="C12" s="5" t="s">
        <v>135</v>
      </c>
      <c r="D12" s="5">
        <v>38</v>
      </c>
      <c r="E12" s="15">
        <v>1056000</v>
      </c>
      <c r="F12" s="15">
        <f t="shared" si="0"/>
        <v>40128000</v>
      </c>
    </row>
    <row r="13" spans="1:6" x14ac:dyDescent="0.3">
      <c r="A13" s="5" t="s">
        <v>122</v>
      </c>
      <c r="B13" s="5" t="s">
        <v>128</v>
      </c>
      <c r="C13" s="5" t="s">
        <v>136</v>
      </c>
      <c r="D13" s="5">
        <v>46</v>
      </c>
      <c r="E13" s="15">
        <v>289000</v>
      </c>
      <c r="F13" s="15">
        <f t="shared" si="0"/>
        <v>13294000</v>
      </c>
    </row>
    <row r="14" spans="1:6" x14ac:dyDescent="0.3">
      <c r="A14" s="5" t="s">
        <v>122</v>
      </c>
      <c r="B14" s="5" t="s">
        <v>120</v>
      </c>
      <c r="C14" s="5" t="s">
        <v>137</v>
      </c>
      <c r="D14" s="5">
        <v>62</v>
      </c>
      <c r="E14" s="15">
        <v>289000</v>
      </c>
      <c r="F14" s="15">
        <f t="shared" si="0"/>
        <v>17918000</v>
      </c>
    </row>
    <row r="15" spans="1:6" x14ac:dyDescent="0.3">
      <c r="A15" s="5" t="s">
        <v>127</v>
      </c>
      <c r="B15" s="5" t="s">
        <v>123</v>
      </c>
      <c r="C15" s="5" t="s">
        <v>138</v>
      </c>
      <c r="D15" s="5">
        <v>24</v>
      </c>
      <c r="E15" s="15">
        <v>699000</v>
      </c>
      <c r="F15" s="15">
        <f t="shared" si="0"/>
        <v>16776000</v>
      </c>
    </row>
    <row r="18" spans="1:7" x14ac:dyDescent="0.3">
      <c r="B18" s="20" t="s">
        <v>140</v>
      </c>
    </row>
    <row r="19" spans="1:7" x14ac:dyDescent="0.3">
      <c r="B19" t="s">
        <v>120</v>
      </c>
      <c r="D19" t="s">
        <v>128</v>
      </c>
      <c r="F19" t="s">
        <v>123</v>
      </c>
    </row>
    <row r="20" spans="1:7" x14ac:dyDescent="0.3">
      <c r="A20" s="20" t="s">
        <v>139</v>
      </c>
      <c r="B20" t="s">
        <v>141</v>
      </c>
      <c r="C20" t="s">
        <v>142</v>
      </c>
      <c r="D20" t="s">
        <v>141</v>
      </c>
      <c r="E20" t="s">
        <v>142</v>
      </c>
      <c r="F20" t="s">
        <v>141</v>
      </c>
      <c r="G20" t="s">
        <v>142</v>
      </c>
    </row>
    <row r="21" spans="1:7" x14ac:dyDescent="0.3">
      <c r="A21" s="21" t="s">
        <v>122</v>
      </c>
      <c r="B21">
        <v>62</v>
      </c>
      <c r="C21" s="22">
        <v>17918000</v>
      </c>
      <c r="D21">
        <v>46</v>
      </c>
      <c r="E21" s="22">
        <v>13294000</v>
      </c>
      <c r="F21">
        <v>35</v>
      </c>
      <c r="G21" s="22">
        <v>10115000</v>
      </c>
    </row>
    <row r="22" spans="1:7" x14ac:dyDescent="0.3">
      <c r="A22" s="21" t="s">
        <v>119</v>
      </c>
      <c r="B22">
        <v>28</v>
      </c>
      <c r="C22" s="22">
        <v>29568000</v>
      </c>
      <c r="D22">
        <v>53</v>
      </c>
      <c r="E22" s="22">
        <v>55968000</v>
      </c>
      <c r="F22">
        <v>38</v>
      </c>
      <c r="G22" s="22">
        <v>40128000</v>
      </c>
    </row>
    <row r="23" spans="1:7" x14ac:dyDescent="0.3">
      <c r="A23" s="21" t="s">
        <v>131</v>
      </c>
      <c r="B23">
        <v>27</v>
      </c>
      <c r="C23" s="22">
        <v>10152000</v>
      </c>
      <c r="E23" s="22"/>
      <c r="F23">
        <v>15</v>
      </c>
      <c r="G23" s="22">
        <v>5640000</v>
      </c>
    </row>
    <row r="24" spans="1:7" x14ac:dyDescent="0.3">
      <c r="A24" s="21" t="s">
        <v>127</v>
      </c>
      <c r="C24" s="22"/>
      <c r="D24">
        <v>61</v>
      </c>
      <c r="E24" s="22">
        <v>42639000</v>
      </c>
      <c r="F24">
        <v>24</v>
      </c>
      <c r="G24" s="22">
        <v>16776000</v>
      </c>
    </row>
    <row r="25" spans="1:7" x14ac:dyDescent="0.3">
      <c r="A25" s="21" t="s">
        <v>125</v>
      </c>
      <c r="B25">
        <v>19</v>
      </c>
      <c r="C25" s="22">
        <v>37050000</v>
      </c>
      <c r="D25">
        <v>22</v>
      </c>
      <c r="E25" s="22">
        <v>42900000</v>
      </c>
      <c r="G25" s="22"/>
    </row>
    <row r="26" spans="1:7" x14ac:dyDescent="0.3">
      <c r="A26" s="21" t="s">
        <v>107</v>
      </c>
      <c r="B26">
        <v>34</v>
      </c>
      <c r="C26" s="22">
        <v>23672000</v>
      </c>
      <c r="D26">
        <v>45.5</v>
      </c>
      <c r="E26" s="22">
        <v>38700250</v>
      </c>
      <c r="F26">
        <v>28</v>
      </c>
      <c r="G26" s="22">
        <v>18164750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F626C-E16C-4DE4-8342-B1B2C0E9B4BC}">
  <dimension ref="A1:E11"/>
  <sheetViews>
    <sheetView workbookViewId="0">
      <selection sqref="A1:E1"/>
    </sheetView>
  </sheetViews>
  <sheetFormatPr defaultRowHeight="16.5" x14ac:dyDescent="0.3"/>
  <sheetData>
    <row r="1" spans="1:5" ht="20.25" x14ac:dyDescent="0.3">
      <c r="A1" s="30" t="s">
        <v>143</v>
      </c>
      <c r="B1" s="30"/>
      <c r="C1" s="30"/>
      <c r="D1" s="30"/>
      <c r="E1" s="30"/>
    </row>
    <row r="3" spans="1:5" x14ac:dyDescent="0.3">
      <c r="A3" s="5" t="s">
        <v>144</v>
      </c>
      <c r="B3" s="23" t="s">
        <v>145</v>
      </c>
      <c r="C3" s="5" t="s">
        <v>146</v>
      </c>
      <c r="D3" s="23" t="s">
        <v>147</v>
      </c>
      <c r="E3" s="5" t="s">
        <v>148</v>
      </c>
    </row>
    <row r="4" spans="1:5" x14ac:dyDescent="0.3">
      <c r="A4" s="5" t="s">
        <v>149</v>
      </c>
      <c r="B4" s="23" t="s">
        <v>150</v>
      </c>
      <c r="C4" s="5">
        <v>90</v>
      </c>
      <c r="D4" s="23">
        <v>88</v>
      </c>
      <c r="E4" s="5">
        <f>AVERAGE(C4:D4)</f>
        <v>89</v>
      </c>
    </row>
    <row r="5" spans="1:5" x14ac:dyDescent="0.3">
      <c r="A5" s="5" t="s">
        <v>151</v>
      </c>
      <c r="B5" s="23" t="s">
        <v>152</v>
      </c>
      <c r="C5" s="5">
        <v>100</v>
      </c>
      <c r="D5" s="23">
        <v>59</v>
      </c>
      <c r="E5" s="5">
        <f t="shared" ref="E5:E11" si="0">AVERAGE(C5:D5)</f>
        <v>79.5</v>
      </c>
    </row>
    <row r="6" spans="1:5" x14ac:dyDescent="0.3">
      <c r="A6" s="5" t="s">
        <v>153</v>
      </c>
      <c r="B6" s="23" t="s">
        <v>154</v>
      </c>
      <c r="C6" s="5">
        <v>87</v>
      </c>
      <c r="D6" s="23">
        <v>95</v>
      </c>
      <c r="E6" s="5">
        <f t="shared" si="0"/>
        <v>91</v>
      </c>
    </row>
    <row r="7" spans="1:5" x14ac:dyDescent="0.3">
      <c r="A7" s="5" t="s">
        <v>155</v>
      </c>
      <c r="B7" s="23" t="s">
        <v>152</v>
      </c>
      <c r="C7" s="5">
        <v>85</v>
      </c>
      <c r="D7" s="23">
        <v>82</v>
      </c>
      <c r="E7" s="5">
        <f t="shared" si="0"/>
        <v>83.5</v>
      </c>
    </row>
    <row r="8" spans="1:5" x14ac:dyDescent="0.3">
      <c r="A8" s="5" t="s">
        <v>156</v>
      </c>
      <c r="B8" s="23" t="s">
        <v>150</v>
      </c>
      <c r="C8" s="5">
        <v>46</v>
      </c>
      <c r="D8" s="23">
        <v>75</v>
      </c>
      <c r="E8" s="5">
        <f t="shared" si="0"/>
        <v>60.5</v>
      </c>
    </row>
    <row r="9" spans="1:5" x14ac:dyDescent="0.3">
      <c r="A9" s="5" t="s">
        <v>157</v>
      </c>
      <c r="B9" s="23" t="s">
        <v>154</v>
      </c>
      <c r="C9" s="5">
        <v>66</v>
      </c>
      <c r="D9" s="23">
        <v>59</v>
      </c>
      <c r="E9" s="5">
        <f t="shared" si="0"/>
        <v>62.5</v>
      </c>
    </row>
    <row r="10" spans="1:5" x14ac:dyDescent="0.3">
      <c r="A10" s="5" t="s">
        <v>158</v>
      </c>
      <c r="B10" s="23" t="s">
        <v>150</v>
      </c>
      <c r="C10" s="5">
        <v>68</v>
      </c>
      <c r="D10" s="23">
        <v>88</v>
      </c>
      <c r="E10" s="5">
        <f t="shared" si="0"/>
        <v>78</v>
      </c>
    </row>
    <row r="11" spans="1:5" x14ac:dyDescent="0.3">
      <c r="A11" s="5" t="s">
        <v>159</v>
      </c>
      <c r="B11" s="23" t="s">
        <v>154</v>
      </c>
      <c r="C11" s="5">
        <v>90</v>
      </c>
      <c r="D11" s="23">
        <v>95</v>
      </c>
      <c r="E11" s="5">
        <f t="shared" si="0"/>
        <v>92.5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평균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3E57D-9CC0-49C6-AB4B-C977E38E8607}">
  <dimension ref="A1:E8"/>
  <sheetViews>
    <sheetView workbookViewId="0">
      <selection sqref="A1:E1"/>
    </sheetView>
  </sheetViews>
  <sheetFormatPr defaultRowHeight="16.5" x14ac:dyDescent="0.3"/>
  <sheetData>
    <row r="1" spans="1:5" ht="20.25" x14ac:dyDescent="0.3">
      <c r="A1" s="30" t="s">
        <v>160</v>
      </c>
      <c r="B1" s="30"/>
      <c r="C1" s="30"/>
      <c r="D1" s="30"/>
      <c r="E1" s="30"/>
    </row>
    <row r="3" spans="1:5" x14ac:dyDescent="0.3">
      <c r="A3" s="5" t="s">
        <v>167</v>
      </c>
      <c r="B3" s="5" t="s">
        <v>165</v>
      </c>
      <c r="C3" s="5" t="s">
        <v>163</v>
      </c>
      <c r="D3" s="5" t="s">
        <v>164</v>
      </c>
      <c r="E3" s="5" t="s">
        <v>166</v>
      </c>
    </row>
    <row r="4" spans="1:5" x14ac:dyDescent="0.3">
      <c r="A4" s="5" t="s">
        <v>161</v>
      </c>
      <c r="B4" s="24">
        <v>1569</v>
      </c>
      <c r="C4" s="24">
        <v>1725</v>
      </c>
      <c r="D4" s="24">
        <v>1837</v>
      </c>
      <c r="E4" s="24">
        <v>2169</v>
      </c>
    </row>
    <row r="5" spans="1:5" x14ac:dyDescent="0.3">
      <c r="A5" s="5" t="s">
        <v>168</v>
      </c>
      <c r="B5" s="24">
        <v>2635</v>
      </c>
      <c r="C5" s="24">
        <v>2538</v>
      </c>
      <c r="D5" s="24">
        <v>2724</v>
      </c>
      <c r="E5" s="24">
        <v>3027</v>
      </c>
    </row>
    <row r="6" spans="1:5" x14ac:dyDescent="0.3">
      <c r="A6" s="5" t="s">
        <v>169</v>
      </c>
      <c r="B6" s="24">
        <v>3651</v>
      </c>
      <c r="C6" s="24">
        <v>3867</v>
      </c>
      <c r="D6" s="24">
        <v>4055</v>
      </c>
      <c r="E6" s="24">
        <v>4191</v>
      </c>
    </row>
    <row r="7" spans="1:5" x14ac:dyDescent="0.3">
      <c r="A7" s="5" t="s">
        <v>170</v>
      </c>
      <c r="B7" s="24">
        <v>1589</v>
      </c>
      <c r="C7" s="24">
        <v>1736</v>
      </c>
      <c r="D7" s="24">
        <v>1678</v>
      </c>
      <c r="E7" s="24">
        <v>1983</v>
      </c>
    </row>
    <row r="8" spans="1:5" x14ac:dyDescent="0.3">
      <c r="A8" s="5" t="s">
        <v>162</v>
      </c>
      <c r="B8" s="24">
        <v>9444</v>
      </c>
      <c r="C8" s="24">
        <v>9866</v>
      </c>
      <c r="D8" s="24">
        <v>10294</v>
      </c>
      <c r="E8" s="24">
        <v>11370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2026-09-28T09:13:08Z</dcterms:modified>
</cp:coreProperties>
</file>