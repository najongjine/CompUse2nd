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2_메일링용\2025년 컴활2급 상시04\"/>
    </mc:Choice>
  </mc:AlternateContent>
  <xr:revisionPtr revIDLastSave="0" documentId="13_ncr:1_{65522A6A-F536-4187-A334-34912E7013E9}" xr6:coauthVersionLast="47" xr6:coauthVersionMax="47" xr10:uidLastSave="{00000000-0000-0000-0000-000000000000}"/>
  <bookViews>
    <workbookView xWindow="-32160" yWindow="3230" windowWidth="22430" windowHeight="17480" xr2:uid="{454C2710-479D-43CF-B081-445713A883DF}"/>
  </bookViews>
  <sheets>
    <sheet name="기본작업-1" sheetId="13" r:id="rId1"/>
    <sheet name="기본작업-2" sheetId="10" r:id="rId2"/>
    <sheet name="기본작업-3" sheetId="11" r:id="rId3"/>
    <sheet name="계산작업" sheetId="18" r:id="rId4"/>
    <sheet name="분석작업-1" sheetId="14" r:id="rId5"/>
    <sheet name="분석작업-2" sheetId="15" r:id="rId6"/>
    <sheet name="매크로작업" sheetId="16" r:id="rId7"/>
    <sheet name="차트작업" sheetId="17" r:id="rId8"/>
  </sheets>
  <definedNames>
    <definedName name="지역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18" l="1"/>
  <c r="I22" i="18"/>
  <c r="I21" i="18"/>
  <c r="I20" i="18"/>
  <c r="I19" i="18"/>
  <c r="I18" i="18"/>
  <c r="I17" i="18"/>
  <c r="I16" i="18"/>
  <c r="I15" i="18"/>
  <c r="F8" i="17" l="1"/>
  <c r="F7" i="17"/>
  <c r="F6" i="17"/>
  <c r="F5" i="17"/>
  <c r="F4" i="17"/>
  <c r="G12" i="15"/>
  <c r="G11" i="15"/>
  <c r="G10" i="15"/>
  <c r="G9" i="15"/>
  <c r="G8" i="15"/>
  <c r="G7" i="15"/>
  <c r="G6" i="15"/>
  <c r="G5" i="15"/>
  <c r="G4" i="15"/>
  <c r="G13" i="15" s="1"/>
</calcChain>
</file>

<file path=xl/sharedStrings.xml><?xml version="1.0" encoding="utf-8"?>
<sst xmlns="http://schemas.openxmlformats.org/spreadsheetml/2006/main" count="245" uniqueCount="174">
  <si>
    <t>지역별 봄꽃 개화시기</t>
  </si>
  <si>
    <t>꽃</t>
  </si>
  <si>
    <t>지역</t>
  </si>
  <si>
    <t>2023년</t>
    <phoneticPr fontId="1" type="noConversion"/>
  </si>
  <si>
    <t>2024년</t>
    <phoneticPr fontId="1" type="noConversion"/>
  </si>
  <si>
    <t>평년차</t>
  </si>
  <si>
    <t>개나리</t>
  </si>
  <si>
    <t>강릉</t>
  </si>
  <si>
    <t>서울</t>
  </si>
  <si>
    <t>여수</t>
  </si>
  <si>
    <t>부산</t>
  </si>
  <si>
    <t>진달래</t>
  </si>
  <si>
    <t>벚꽃</t>
  </si>
  <si>
    <t>정보처리과 성적표</t>
  </si>
  <si>
    <t>학번</t>
  </si>
  <si>
    <t>이름</t>
  </si>
  <si>
    <t>중간</t>
  </si>
  <si>
    <t>기말</t>
  </si>
  <si>
    <t>과제</t>
  </si>
  <si>
    <t>출석</t>
  </si>
  <si>
    <t>합계</t>
  </si>
  <si>
    <t>유일한</t>
  </si>
  <si>
    <t>신영현</t>
  </si>
  <si>
    <t>김서하</t>
  </si>
  <si>
    <t>한지혜</t>
  </si>
  <si>
    <t>최현진</t>
  </si>
  <si>
    <t>김명철</t>
  </si>
  <si>
    <t>김상순</t>
  </si>
  <si>
    <t>이의리</t>
  </si>
  <si>
    <t>조규성</t>
  </si>
  <si>
    <t>조성은</t>
  </si>
  <si>
    <t>황중희</t>
  </si>
  <si>
    <t>김예소</t>
  </si>
  <si>
    <t>송중기</t>
  </si>
  <si>
    <t>신혜선</t>
  </si>
  <si>
    <t>상공여행사 여행 상품</t>
  </si>
  <si>
    <t>상공산업 급여지급명세서</t>
  </si>
  <si>
    <t>부서명</t>
  </si>
  <si>
    <t>사원명</t>
  </si>
  <si>
    <t>직위</t>
  </si>
  <si>
    <t>기본급</t>
  </si>
  <si>
    <t>상여금</t>
  </si>
  <si>
    <t>세금</t>
  </si>
  <si>
    <t>총급여</t>
  </si>
  <si>
    <t>생산부</t>
  </si>
  <si>
    <t>이미현</t>
  </si>
  <si>
    <t>부장</t>
  </si>
  <si>
    <t>영업부</t>
  </si>
  <si>
    <t>이선미</t>
  </si>
  <si>
    <t>홍보부</t>
  </si>
  <si>
    <t>박영선</t>
  </si>
  <si>
    <t>고회식</t>
  </si>
  <si>
    <t>과장</t>
  </si>
  <si>
    <t>이종민</t>
  </si>
  <si>
    <t>김태균</t>
  </si>
  <si>
    <t>심영훈</t>
  </si>
  <si>
    <t>대리</t>
  </si>
  <si>
    <t>박해수</t>
  </si>
  <si>
    <t>권지향</t>
  </si>
  <si>
    <t>권수연</t>
  </si>
  <si>
    <t>사원</t>
  </si>
  <si>
    <t>조광희</t>
  </si>
  <si>
    <t>윤정아</t>
  </si>
  <si>
    <t>부서별 해외직구 현황</t>
  </si>
  <si>
    <t>환율 :</t>
  </si>
  <si>
    <t>제품코드</t>
  </si>
  <si>
    <t>제품가(달러)</t>
  </si>
  <si>
    <t>수량</t>
  </si>
  <si>
    <t>배송비(달러)</t>
  </si>
  <si>
    <t>구매금액(원)</t>
  </si>
  <si>
    <t>KBP14</t>
  </si>
  <si>
    <t>CLK66</t>
  </si>
  <si>
    <t>총무부</t>
  </si>
  <si>
    <t>SME92</t>
  </si>
  <si>
    <t>KES20</t>
  </si>
  <si>
    <t>GHI13</t>
  </si>
  <si>
    <t>LSH56</t>
  </si>
  <si>
    <t>BUA84</t>
  </si>
  <si>
    <t>WTP11</t>
  </si>
  <si>
    <t>NVY05</t>
  </si>
  <si>
    <t>총구매금액</t>
  </si>
  <si>
    <t>튼튼병원 전반기 진료 현황</t>
  </si>
  <si>
    <t>진료과</t>
  </si>
  <si>
    <t>1월</t>
  </si>
  <si>
    <t>2월</t>
  </si>
  <si>
    <t>3월</t>
  </si>
  <si>
    <t>4월</t>
  </si>
  <si>
    <t>5월</t>
  </si>
  <si>
    <t>6월</t>
  </si>
  <si>
    <t>평균</t>
  </si>
  <si>
    <t>내과</t>
  </si>
  <si>
    <t>외과</t>
  </si>
  <si>
    <t>신경과</t>
  </si>
  <si>
    <t>흉부외과</t>
  </si>
  <si>
    <t>산부인과</t>
  </si>
  <si>
    <t>전국체전 메달 결과</t>
  </si>
  <si>
    <t>시도</t>
  </si>
  <si>
    <t>금</t>
  </si>
  <si>
    <t>은</t>
  </si>
  <si>
    <t>동</t>
  </si>
  <si>
    <t>경기</t>
  </si>
  <si>
    <t>광주</t>
  </si>
  <si>
    <t>강원</t>
  </si>
  <si>
    <t>[표1]</t>
  </si>
  <si>
    <t>상공컨벤션 예약 현황</t>
    <phoneticPr fontId="1" type="noConversion"/>
  </si>
  <si>
    <t>[표2]</t>
    <phoneticPr fontId="1" type="noConversion"/>
  </si>
  <si>
    <t>심사 결과표</t>
  </si>
  <si>
    <t>예약코드</t>
    <phoneticPr fontId="1" type="noConversion"/>
  </si>
  <si>
    <t>구분</t>
    <phoneticPr fontId="1" type="noConversion"/>
  </si>
  <si>
    <t>예약인원</t>
    <phoneticPr fontId="1" type="noConversion"/>
  </si>
  <si>
    <t>할인율</t>
    <phoneticPr fontId="1" type="noConversion"/>
  </si>
  <si>
    <t>참가번호</t>
  </si>
  <si>
    <t>1차</t>
  </si>
  <si>
    <t>2차</t>
  </si>
  <si>
    <t>3차</t>
  </si>
  <si>
    <t>4차</t>
  </si>
  <si>
    <t>5차</t>
  </si>
  <si>
    <t>1-K-24</t>
    <phoneticPr fontId="1" type="noConversion"/>
  </si>
  <si>
    <t>이벤트</t>
    <phoneticPr fontId="1" type="noConversion"/>
  </si>
  <si>
    <t>A12301</t>
  </si>
  <si>
    <t>3-R-48</t>
    <phoneticPr fontId="1" type="noConversion"/>
  </si>
  <si>
    <t>세미나</t>
    <phoneticPr fontId="1" type="noConversion"/>
  </si>
  <si>
    <t>A12302</t>
  </si>
  <si>
    <t>1-R-72</t>
    <phoneticPr fontId="1" type="noConversion"/>
  </si>
  <si>
    <t>A12303</t>
  </si>
  <si>
    <t>3-K-18</t>
    <phoneticPr fontId="1" type="noConversion"/>
  </si>
  <si>
    <t>A12304</t>
  </si>
  <si>
    <t>1-R-39</t>
    <phoneticPr fontId="1" type="noConversion"/>
  </si>
  <si>
    <t>A12305</t>
  </si>
  <si>
    <t>1-K-88</t>
    <phoneticPr fontId="1" type="noConversion"/>
  </si>
  <si>
    <t>A12306</t>
  </si>
  <si>
    <t>3-K-62</t>
    <phoneticPr fontId="1" type="noConversion"/>
  </si>
  <si>
    <t>기업회의</t>
    <phoneticPr fontId="1" type="noConversion"/>
  </si>
  <si>
    <t>A12307</t>
  </si>
  <si>
    <t>3-R-90</t>
    <phoneticPr fontId="1" type="noConversion"/>
  </si>
  <si>
    <t>A12308</t>
  </si>
  <si>
    <t>1-K-55</t>
    <phoneticPr fontId="1" type="noConversion"/>
  </si>
  <si>
    <t>A12309</t>
  </si>
  <si>
    <t>[표3]</t>
    <phoneticPr fontId="1" type="noConversion"/>
  </si>
  <si>
    <t>하프마라톤 결과</t>
  </si>
  <si>
    <t>[표4]</t>
    <phoneticPr fontId="1" type="noConversion"/>
  </si>
  <si>
    <t>지점 판매현황</t>
    <phoneticPr fontId="1" type="noConversion"/>
  </si>
  <si>
    <t>선수번호</t>
  </si>
  <si>
    <t>소속</t>
  </si>
  <si>
    <t>나이</t>
  </si>
  <si>
    <t>기록</t>
  </si>
  <si>
    <t>제품명</t>
    <phoneticPr fontId="1" type="noConversion"/>
  </si>
  <si>
    <t>지점</t>
    <phoneticPr fontId="1" type="noConversion"/>
  </si>
  <si>
    <t>판매량</t>
    <phoneticPr fontId="1" type="noConversion"/>
  </si>
  <si>
    <t>판매총액</t>
    <phoneticPr fontId="1" type="noConversion"/>
  </si>
  <si>
    <t>춘천</t>
  </si>
  <si>
    <t>키보드</t>
    <phoneticPr fontId="1" type="noConversion"/>
  </si>
  <si>
    <t>마포</t>
    <phoneticPr fontId="1" type="noConversion"/>
  </si>
  <si>
    <t>영월</t>
  </si>
  <si>
    <t>용산</t>
    <phoneticPr fontId="1" type="noConversion"/>
  </si>
  <si>
    <t>서초</t>
    <phoneticPr fontId="1" type="noConversion"/>
  </si>
  <si>
    <t>평창</t>
  </si>
  <si>
    <t>마우스</t>
    <phoneticPr fontId="1" type="noConversion"/>
  </si>
  <si>
    <t>고성</t>
  </si>
  <si>
    <t>프린터</t>
    <phoneticPr fontId="1" type="noConversion"/>
  </si>
  <si>
    <t>가장 빠른 기록</t>
  </si>
  <si>
    <t>용산점 판매량 비율</t>
    <phoneticPr fontId="1" type="noConversion"/>
  </si>
  <si>
    <t>[표5]</t>
  </si>
  <si>
    <t>분식 주문 현황</t>
  </si>
  <si>
    <t>번호</t>
  </si>
  <si>
    <t>메뉴</t>
  </si>
  <si>
    <t>금액</t>
  </si>
  <si>
    <t>&lt;메뉴 가격표&gt;</t>
  </si>
  <si>
    <t>라면</t>
  </si>
  <si>
    <t>김밥</t>
  </si>
  <si>
    <t>떡볶이</t>
  </si>
  <si>
    <t>돈까스</t>
  </si>
  <si>
    <t>가격</t>
  </si>
  <si>
    <t>튀김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</si>
</sst>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41" fontId="4" fillId="0" borderId="0" xfId="1" applyFont="1">
      <alignment vertical="center"/>
    </xf>
    <xf numFmtId="41" fontId="0" fillId="0" borderId="1" xfId="1" applyFont="1" applyBorder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7" fillId="0" borderId="0" xfId="3" applyFont="1">
      <alignment vertical="center"/>
    </xf>
    <xf numFmtId="0" fontId="8" fillId="0" borderId="0" xfId="3" applyFont="1">
      <alignment vertical="center"/>
    </xf>
    <xf numFmtId="0" fontId="2" fillId="0" borderId="0" xfId="4">
      <alignment vertical="center"/>
    </xf>
    <xf numFmtId="0" fontId="6" fillId="0" borderId="0" xfId="3">
      <alignment vertical="center"/>
    </xf>
    <xf numFmtId="0" fontId="2" fillId="0" borderId="1" xfId="4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6" fillId="0" borderId="1" xfId="3" applyBorder="1" applyAlignment="1">
      <alignment horizontal="center" vertical="center"/>
    </xf>
    <xf numFmtId="41" fontId="0" fillId="0" borderId="1" xfId="5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2" borderId="2" xfId="4" applyFill="1" applyBorder="1" applyAlignment="1">
      <alignment horizontal="center" vertical="center"/>
    </xf>
    <xf numFmtId="0" fontId="2" fillId="2" borderId="4" xfId="4" applyFill="1" applyBorder="1" applyAlignment="1">
      <alignment horizontal="center" vertical="center"/>
    </xf>
    <xf numFmtId="0" fontId="2" fillId="2" borderId="3" xfId="4" applyFill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</cellXfs>
  <cellStyles count="6">
    <cellStyle name="백분율" xfId="2" builtinId="5"/>
    <cellStyle name="쉼표 [0]" xfId="1" builtinId="6"/>
    <cellStyle name="쉼표 [0] 8" xfId="5" xr:uid="{24117E00-4C9C-415E-93FC-3B1507C0D525}"/>
    <cellStyle name="표준" xfId="0" builtinId="0"/>
    <cellStyle name="표준 2 2" xfId="3" xr:uid="{1728209C-BC7B-4F71-9B21-3078543947A1}"/>
    <cellStyle name="표준 9" xfId="4" xr:uid="{2EA04D67-68E8-4713-B196-38608ADF3C8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전국체전 메달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차트작업!$C$4:$C$8</c:f>
              <c:numCache>
                <c:formatCode>General</c:formatCode>
                <c:ptCount val="5"/>
                <c:pt idx="0">
                  <c:v>101</c:v>
                </c:pt>
                <c:pt idx="1">
                  <c:v>147</c:v>
                </c:pt>
                <c:pt idx="2">
                  <c:v>46</c:v>
                </c:pt>
                <c:pt idx="3">
                  <c:v>52</c:v>
                </c:pt>
                <c:pt idx="4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A7-42AF-92B2-6ED1EC49C8AE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차트작업!$D$4:$D$8</c:f>
              <c:numCache>
                <c:formatCode>General</c:formatCode>
                <c:ptCount val="5"/>
                <c:pt idx="0">
                  <c:v>106</c:v>
                </c:pt>
                <c:pt idx="1">
                  <c:v>128</c:v>
                </c:pt>
                <c:pt idx="2">
                  <c:v>64</c:v>
                </c:pt>
                <c:pt idx="3">
                  <c:v>39</c:v>
                </c:pt>
                <c:pt idx="4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A7-42AF-92B2-6ED1EC49C8AE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차트작업!$E$4:$E$8</c:f>
              <c:numCache>
                <c:formatCode>General</c:formatCode>
                <c:ptCount val="5"/>
                <c:pt idx="0">
                  <c:v>123</c:v>
                </c:pt>
                <c:pt idx="1">
                  <c:v>150</c:v>
                </c:pt>
                <c:pt idx="2">
                  <c:v>77</c:v>
                </c:pt>
                <c:pt idx="3">
                  <c:v>58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A7-42AF-92B2-6ED1EC49C8AE}"/>
            </c:ext>
          </c:extLst>
        </c:ser>
        <c:ser>
          <c:idx val="3"/>
          <c:order val="3"/>
          <c:tx>
            <c:strRef>
              <c:f>차트작업!$F$3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차트작업!$F$4:$F$8</c:f>
              <c:numCache>
                <c:formatCode>General</c:formatCode>
                <c:ptCount val="5"/>
                <c:pt idx="0">
                  <c:v>330</c:v>
                </c:pt>
                <c:pt idx="1">
                  <c:v>425</c:v>
                </c:pt>
                <c:pt idx="2">
                  <c:v>187</c:v>
                </c:pt>
                <c:pt idx="3">
                  <c:v>149</c:v>
                </c:pt>
                <c:pt idx="4">
                  <c:v>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A7-42AF-92B2-6ED1EC49C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3228288"/>
        <c:axId val="1153220800"/>
      </c:barChart>
      <c:catAx>
        <c:axId val="115322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3220800"/>
        <c:crosses val="autoZero"/>
        <c:auto val="1"/>
        <c:lblAlgn val="ctr"/>
        <c:lblOffset val="100"/>
        <c:noMultiLvlLbl val="0"/>
      </c:catAx>
      <c:valAx>
        <c:axId val="115322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322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E49BCBE-CD85-44F3-9247-6F294D2AF8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585D-D4D3-43BF-9D0F-CCB16E075734}">
  <dimension ref="A1:F8"/>
  <sheetViews>
    <sheetView tabSelected="1" workbookViewId="0"/>
  </sheetViews>
  <sheetFormatPr defaultRowHeight="17" x14ac:dyDescent="0.45"/>
  <cols>
    <col min="3" max="3" width="10.75" bestFit="1" customWidth="1"/>
    <col min="6" max="6" width="9.08203125" bestFit="1" customWidth="1"/>
  </cols>
  <sheetData>
    <row r="1" spans="1:6" x14ac:dyDescent="0.45">
      <c r="A1" t="s">
        <v>35</v>
      </c>
    </row>
    <row r="3" spans="1:6" x14ac:dyDescent="0.45">
      <c r="A3" s="1"/>
      <c r="B3" s="1"/>
      <c r="C3" s="1"/>
      <c r="D3" s="1"/>
      <c r="E3" s="1"/>
      <c r="F3" s="1"/>
    </row>
    <row r="4" spans="1:6" x14ac:dyDescent="0.45">
      <c r="A4" s="1"/>
      <c r="B4" s="1"/>
      <c r="C4" s="5"/>
      <c r="D4" s="1"/>
      <c r="E4" s="1"/>
      <c r="F4" s="2"/>
    </row>
    <row r="5" spans="1:6" x14ac:dyDescent="0.45">
      <c r="A5" s="1"/>
      <c r="B5" s="1"/>
      <c r="C5" s="5"/>
      <c r="D5" s="1"/>
      <c r="E5" s="1"/>
      <c r="F5" s="2"/>
    </row>
    <row r="6" spans="1:6" x14ac:dyDescent="0.45">
      <c r="A6" s="1"/>
      <c r="B6" s="1"/>
      <c r="C6" s="5"/>
      <c r="D6" s="1"/>
      <c r="E6" s="1"/>
      <c r="F6" s="2"/>
    </row>
    <row r="7" spans="1:6" x14ac:dyDescent="0.45">
      <c r="A7" s="1"/>
      <c r="B7" s="1"/>
      <c r="C7" s="5"/>
      <c r="D7" s="1"/>
      <c r="E7" s="1"/>
      <c r="F7" s="2"/>
    </row>
    <row r="8" spans="1:6" x14ac:dyDescent="0.45">
      <c r="A8" s="1"/>
      <c r="B8" s="1"/>
      <c r="C8" s="5"/>
      <c r="D8" s="1"/>
      <c r="E8" s="1"/>
      <c r="F8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D1E99-8ED1-4548-8A9C-D24080280F0C}">
  <dimension ref="A1:E15"/>
  <sheetViews>
    <sheetView workbookViewId="0"/>
  </sheetViews>
  <sheetFormatPr defaultRowHeight="17" x14ac:dyDescent="0.45"/>
  <cols>
    <col min="3" max="4" width="9.5" bestFit="1" customWidth="1"/>
  </cols>
  <sheetData>
    <row r="1" spans="1:5" x14ac:dyDescent="0.45">
      <c r="A1" t="s">
        <v>0</v>
      </c>
    </row>
    <row r="3" spans="1:5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45">
      <c r="A4" t="s">
        <v>6</v>
      </c>
      <c r="B4" s="1" t="s">
        <v>7</v>
      </c>
      <c r="C4" s="3">
        <v>45006</v>
      </c>
      <c r="D4" s="3">
        <v>45376</v>
      </c>
      <c r="E4" s="1">
        <v>4</v>
      </c>
    </row>
    <row r="5" spans="1:5" x14ac:dyDescent="0.45">
      <c r="B5" s="1" t="s">
        <v>8</v>
      </c>
      <c r="C5" s="3">
        <v>45010</v>
      </c>
      <c r="D5" s="3">
        <v>45379</v>
      </c>
      <c r="E5" s="1">
        <v>3</v>
      </c>
    </row>
    <row r="6" spans="1:5" x14ac:dyDescent="0.45">
      <c r="B6" s="1" t="s">
        <v>9</v>
      </c>
      <c r="C6" s="3">
        <v>45005</v>
      </c>
      <c r="D6" s="3">
        <v>45374</v>
      </c>
      <c r="E6" s="1">
        <v>3</v>
      </c>
    </row>
    <row r="7" spans="1:5" x14ac:dyDescent="0.45">
      <c r="B7" s="1" t="s">
        <v>10</v>
      </c>
      <c r="C7" s="3">
        <v>45001</v>
      </c>
      <c r="D7" s="3">
        <v>45368</v>
      </c>
      <c r="E7" s="1">
        <v>1</v>
      </c>
    </row>
    <row r="8" spans="1:5" x14ac:dyDescent="0.45">
      <c r="A8" t="s">
        <v>11</v>
      </c>
      <c r="B8" s="1" t="s">
        <v>7</v>
      </c>
      <c r="C8" s="3">
        <v>45008</v>
      </c>
      <c r="D8" s="3">
        <v>45379</v>
      </c>
      <c r="E8" s="1">
        <v>5</v>
      </c>
    </row>
    <row r="9" spans="1:5" x14ac:dyDescent="0.45">
      <c r="B9" s="1" t="s">
        <v>8</v>
      </c>
      <c r="C9" s="3">
        <v>45008</v>
      </c>
      <c r="D9" s="3">
        <v>45380</v>
      </c>
      <c r="E9" s="1">
        <v>6</v>
      </c>
    </row>
    <row r="10" spans="1:5" x14ac:dyDescent="0.45">
      <c r="B10" s="1" t="s">
        <v>9</v>
      </c>
      <c r="C10" s="3">
        <v>45001</v>
      </c>
      <c r="D10" s="3">
        <v>45371</v>
      </c>
      <c r="E10" s="1">
        <v>4</v>
      </c>
    </row>
    <row r="11" spans="1:5" x14ac:dyDescent="0.45">
      <c r="B11" s="1" t="s">
        <v>10</v>
      </c>
      <c r="C11" s="3">
        <v>45003</v>
      </c>
      <c r="D11" s="3">
        <v>45370</v>
      </c>
      <c r="E11" s="1">
        <v>1</v>
      </c>
    </row>
    <row r="12" spans="1:5" x14ac:dyDescent="0.45">
      <c r="A12" t="s">
        <v>12</v>
      </c>
      <c r="B12" s="1" t="s">
        <v>7</v>
      </c>
      <c r="C12" s="3">
        <v>45016</v>
      </c>
      <c r="D12" s="3">
        <v>45386</v>
      </c>
      <c r="E12" s="1">
        <v>4</v>
      </c>
    </row>
    <row r="13" spans="1:5" x14ac:dyDescent="0.45">
      <c r="B13" s="1" t="s">
        <v>8</v>
      </c>
      <c r="C13" s="3">
        <v>45019</v>
      </c>
      <c r="D13" s="3">
        <v>45390</v>
      </c>
      <c r="E13" s="1">
        <v>5</v>
      </c>
    </row>
    <row r="14" spans="1:5" x14ac:dyDescent="0.45">
      <c r="B14" s="1" t="s">
        <v>9</v>
      </c>
      <c r="C14" s="3">
        <v>45014</v>
      </c>
      <c r="D14" s="3">
        <v>45382</v>
      </c>
      <c r="E14" s="1">
        <v>2</v>
      </c>
    </row>
    <row r="15" spans="1:5" x14ac:dyDescent="0.45">
      <c r="B15" s="1" t="s">
        <v>10</v>
      </c>
      <c r="C15" s="3">
        <v>45007</v>
      </c>
      <c r="D15" s="3">
        <v>45375</v>
      </c>
      <c r="E15" s="1">
        <v>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0A74F-277B-45A2-BDE1-B9D0ECB2BBD8}">
  <dimension ref="A1:G17"/>
  <sheetViews>
    <sheetView workbookViewId="0">
      <selection sqref="A1:G1"/>
    </sheetView>
  </sheetViews>
  <sheetFormatPr defaultRowHeight="17" x14ac:dyDescent="0.45"/>
  <sheetData>
    <row r="1" spans="1:7" ht="21" x14ac:dyDescent="0.45">
      <c r="A1" s="10" t="s">
        <v>13</v>
      </c>
      <c r="B1" s="10"/>
      <c r="C1" s="10"/>
      <c r="D1" s="10"/>
      <c r="E1" s="10"/>
      <c r="F1" s="10"/>
      <c r="G1" s="10"/>
    </row>
    <row r="3" spans="1:7" x14ac:dyDescent="0.45">
      <c r="A3" s="4" t="s">
        <v>14</v>
      </c>
      <c r="B3" s="4" t="s">
        <v>15</v>
      </c>
      <c r="C3" s="4" t="s">
        <v>16</v>
      </c>
      <c r="D3" s="4" t="s">
        <v>17</v>
      </c>
      <c r="E3" s="4" t="s">
        <v>18</v>
      </c>
      <c r="F3" s="4" t="s">
        <v>19</v>
      </c>
      <c r="G3" s="4" t="s">
        <v>20</v>
      </c>
    </row>
    <row r="4" spans="1:7" x14ac:dyDescent="0.45">
      <c r="A4" s="4">
        <v>2102463</v>
      </c>
      <c r="B4" s="4" t="s">
        <v>21</v>
      </c>
      <c r="C4" s="4">
        <v>32</v>
      </c>
      <c r="D4" s="4">
        <v>33</v>
      </c>
      <c r="E4" s="4">
        <v>16</v>
      </c>
      <c r="F4" s="4">
        <v>9</v>
      </c>
      <c r="G4" s="4">
        <v>90</v>
      </c>
    </row>
    <row r="5" spans="1:7" x14ac:dyDescent="0.45">
      <c r="A5" s="4">
        <v>2105407</v>
      </c>
      <c r="B5" s="4" t="s">
        <v>22</v>
      </c>
      <c r="C5" s="4">
        <v>30</v>
      </c>
      <c r="D5" s="4">
        <v>28</v>
      </c>
      <c r="E5" s="4">
        <v>13</v>
      </c>
      <c r="F5" s="4">
        <v>10</v>
      </c>
      <c r="G5" s="4">
        <v>81</v>
      </c>
    </row>
    <row r="6" spans="1:7" x14ac:dyDescent="0.45">
      <c r="A6" s="4">
        <v>2103159</v>
      </c>
      <c r="B6" s="4" t="s">
        <v>23</v>
      </c>
      <c r="C6" s="4">
        <v>27</v>
      </c>
      <c r="D6" s="4">
        <v>26</v>
      </c>
      <c r="E6" s="4">
        <v>15</v>
      </c>
      <c r="F6" s="4">
        <v>8</v>
      </c>
      <c r="G6" s="4">
        <v>76</v>
      </c>
    </row>
    <row r="7" spans="1:7" x14ac:dyDescent="0.45">
      <c r="A7" s="4">
        <v>2102058</v>
      </c>
      <c r="B7" s="4" t="s">
        <v>24</v>
      </c>
      <c r="C7" s="4">
        <v>32</v>
      </c>
      <c r="D7" s="4">
        <v>35</v>
      </c>
      <c r="E7" s="4">
        <v>18</v>
      </c>
      <c r="F7" s="4">
        <v>10</v>
      </c>
      <c r="G7" s="4">
        <v>95</v>
      </c>
    </row>
    <row r="8" spans="1:7" x14ac:dyDescent="0.45">
      <c r="A8" s="4">
        <v>2108673</v>
      </c>
      <c r="B8" s="4" t="s">
        <v>25</v>
      </c>
      <c r="C8" s="4">
        <v>25</v>
      </c>
      <c r="D8" s="4">
        <v>21</v>
      </c>
      <c r="E8" s="4">
        <v>12</v>
      </c>
      <c r="F8" s="4">
        <v>7</v>
      </c>
      <c r="G8" s="4">
        <v>65</v>
      </c>
    </row>
    <row r="9" spans="1:7" x14ac:dyDescent="0.45">
      <c r="A9" s="4">
        <v>2103042</v>
      </c>
      <c r="B9" s="4" t="s">
        <v>26</v>
      </c>
      <c r="C9" s="4">
        <v>33</v>
      </c>
      <c r="D9" s="4">
        <v>33</v>
      </c>
      <c r="E9" s="4">
        <v>17</v>
      </c>
      <c r="F9" s="4">
        <v>10</v>
      </c>
      <c r="G9" s="4">
        <v>93</v>
      </c>
    </row>
    <row r="10" spans="1:7" x14ac:dyDescent="0.45">
      <c r="A10" s="4">
        <v>2102996</v>
      </c>
      <c r="B10" s="4" t="s">
        <v>27</v>
      </c>
      <c r="C10" s="4">
        <v>28</v>
      </c>
      <c r="D10" s="4">
        <v>29</v>
      </c>
      <c r="E10" s="4">
        <v>14</v>
      </c>
      <c r="F10" s="4">
        <v>9</v>
      </c>
      <c r="G10" s="4">
        <v>80</v>
      </c>
    </row>
    <row r="11" spans="1:7" x14ac:dyDescent="0.45">
      <c r="A11" s="4">
        <v>2104871</v>
      </c>
      <c r="B11" s="4" t="s">
        <v>28</v>
      </c>
      <c r="C11" s="4">
        <v>26</v>
      </c>
      <c r="D11" s="4">
        <v>30</v>
      </c>
      <c r="E11" s="4">
        <v>15</v>
      </c>
      <c r="F11" s="4">
        <v>8</v>
      </c>
      <c r="G11" s="4">
        <v>79</v>
      </c>
    </row>
    <row r="12" spans="1:7" x14ac:dyDescent="0.45">
      <c r="A12" s="4">
        <v>2107570</v>
      </c>
      <c r="B12" s="4" t="s">
        <v>29</v>
      </c>
      <c r="C12" s="4">
        <v>35</v>
      </c>
      <c r="D12" s="4">
        <v>34</v>
      </c>
      <c r="E12" s="4">
        <v>19</v>
      </c>
      <c r="F12" s="4">
        <v>10</v>
      </c>
      <c r="G12" s="4">
        <v>98</v>
      </c>
    </row>
    <row r="13" spans="1:7" x14ac:dyDescent="0.45">
      <c r="A13" s="4">
        <v>2102918</v>
      </c>
      <c r="B13" s="4" t="s">
        <v>30</v>
      </c>
      <c r="C13" s="4">
        <v>34</v>
      </c>
      <c r="D13" s="4">
        <v>33</v>
      </c>
      <c r="E13" s="4">
        <v>20</v>
      </c>
      <c r="F13" s="4">
        <v>10</v>
      </c>
      <c r="G13" s="4">
        <v>97</v>
      </c>
    </row>
    <row r="14" spans="1:7" x14ac:dyDescent="0.45">
      <c r="A14" s="4">
        <v>2107164</v>
      </c>
      <c r="B14" s="4" t="s">
        <v>31</v>
      </c>
      <c r="C14" s="4">
        <v>30</v>
      </c>
      <c r="D14" s="4">
        <v>31</v>
      </c>
      <c r="E14" s="4">
        <v>16</v>
      </c>
      <c r="F14" s="4">
        <v>9</v>
      </c>
      <c r="G14" s="4">
        <v>86</v>
      </c>
    </row>
    <row r="15" spans="1:7" x14ac:dyDescent="0.45">
      <c r="A15" s="4">
        <v>2105060</v>
      </c>
      <c r="B15" s="4" t="s">
        <v>32</v>
      </c>
      <c r="C15" s="4">
        <v>29</v>
      </c>
      <c r="D15" s="4">
        <v>26</v>
      </c>
      <c r="E15" s="4">
        <v>15</v>
      </c>
      <c r="F15" s="4">
        <v>10</v>
      </c>
      <c r="G15" s="4">
        <v>80</v>
      </c>
    </row>
    <row r="16" spans="1:7" x14ac:dyDescent="0.45">
      <c r="A16" s="4">
        <v>2106865</v>
      </c>
      <c r="B16" s="4" t="s">
        <v>33</v>
      </c>
      <c r="C16" s="4">
        <v>31</v>
      </c>
      <c r="D16" s="4">
        <v>32</v>
      </c>
      <c r="E16" s="4">
        <v>17</v>
      </c>
      <c r="F16" s="4">
        <v>10</v>
      </c>
      <c r="G16" s="4">
        <v>90</v>
      </c>
    </row>
    <row r="17" spans="1:7" x14ac:dyDescent="0.45">
      <c r="A17" s="4">
        <v>2103671</v>
      </c>
      <c r="B17" s="4" t="s">
        <v>34</v>
      </c>
      <c r="C17" s="4">
        <v>33</v>
      </c>
      <c r="D17" s="4">
        <v>29</v>
      </c>
      <c r="E17" s="4">
        <v>13</v>
      </c>
      <c r="F17" s="4">
        <v>8</v>
      </c>
      <c r="G17" s="4">
        <v>83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ABE66-71B4-4391-A877-0024B5BD3DF9}">
  <dimension ref="A1:L36"/>
  <sheetViews>
    <sheetView workbookViewId="0"/>
  </sheetViews>
  <sheetFormatPr defaultRowHeight="17" x14ac:dyDescent="0.45"/>
  <cols>
    <col min="4" max="4" width="10" bestFit="1" customWidth="1"/>
    <col min="9" max="9" width="10.58203125" bestFit="1" customWidth="1"/>
  </cols>
  <sheetData>
    <row r="1" spans="1:12" x14ac:dyDescent="0.45">
      <c r="A1" s="11" t="s">
        <v>103</v>
      </c>
      <c r="B1" s="12" t="s">
        <v>104</v>
      </c>
      <c r="F1" s="11" t="s">
        <v>105</v>
      </c>
      <c r="G1" s="12" t="s">
        <v>106</v>
      </c>
    </row>
    <row r="2" spans="1:12" x14ac:dyDescent="0.45">
      <c r="A2" s="4" t="s">
        <v>107</v>
      </c>
      <c r="B2" s="4" t="s">
        <v>108</v>
      </c>
      <c r="C2" s="4" t="s">
        <v>109</v>
      </c>
      <c r="D2" s="13" t="s">
        <v>110</v>
      </c>
      <c r="F2" s="4" t="s">
        <v>111</v>
      </c>
      <c r="G2" s="4" t="s">
        <v>112</v>
      </c>
      <c r="H2" s="4" t="s">
        <v>113</v>
      </c>
      <c r="I2" s="4" t="s">
        <v>114</v>
      </c>
      <c r="J2" s="4" t="s">
        <v>115</v>
      </c>
      <c r="K2" s="4" t="s">
        <v>116</v>
      </c>
      <c r="L2" s="13" t="s">
        <v>89</v>
      </c>
    </row>
    <row r="3" spans="1:12" x14ac:dyDescent="0.45">
      <c r="A3" s="4" t="s">
        <v>117</v>
      </c>
      <c r="B3" s="4" t="s">
        <v>118</v>
      </c>
      <c r="C3" s="4">
        <v>120</v>
      </c>
      <c r="D3" s="4"/>
      <c r="F3" s="4" t="s">
        <v>119</v>
      </c>
      <c r="G3" s="4">
        <v>86</v>
      </c>
      <c r="H3" s="4">
        <v>88</v>
      </c>
      <c r="I3" s="4">
        <v>92</v>
      </c>
      <c r="J3" s="4">
        <v>86</v>
      </c>
      <c r="K3" s="4">
        <v>90</v>
      </c>
      <c r="L3" s="4"/>
    </row>
    <row r="4" spans="1:12" x14ac:dyDescent="0.45">
      <c r="A4" s="4" t="s">
        <v>120</v>
      </c>
      <c r="B4" s="4" t="s">
        <v>121</v>
      </c>
      <c r="C4" s="4">
        <v>100</v>
      </c>
      <c r="D4" s="4"/>
      <c r="F4" s="4" t="s">
        <v>122</v>
      </c>
      <c r="G4" s="4">
        <v>92</v>
      </c>
      <c r="H4" s="4">
        <v>93</v>
      </c>
      <c r="I4" s="4">
        <v>94</v>
      </c>
      <c r="J4" s="4">
        <v>93</v>
      </c>
      <c r="K4" s="4">
        <v>94</v>
      </c>
      <c r="L4" s="4"/>
    </row>
    <row r="5" spans="1:12" x14ac:dyDescent="0.45">
      <c r="A5" s="4" t="s">
        <v>123</v>
      </c>
      <c r="B5" s="4" t="s">
        <v>118</v>
      </c>
      <c r="C5" s="4">
        <v>150</v>
      </c>
      <c r="D5" s="4"/>
      <c r="F5" s="4" t="s">
        <v>124</v>
      </c>
      <c r="G5" s="4">
        <v>94</v>
      </c>
      <c r="H5" s="4">
        <v>84</v>
      </c>
      <c r="I5" s="4">
        <v>88</v>
      </c>
      <c r="J5" s="4">
        <v>92</v>
      </c>
      <c r="K5" s="4">
        <v>90</v>
      </c>
      <c r="L5" s="4"/>
    </row>
    <row r="6" spans="1:12" x14ac:dyDescent="0.45">
      <c r="A6" s="4" t="s">
        <v>125</v>
      </c>
      <c r="B6" s="4" t="s">
        <v>118</v>
      </c>
      <c r="C6" s="4">
        <v>180</v>
      </c>
      <c r="D6" s="4"/>
      <c r="F6" s="4" t="s">
        <v>126</v>
      </c>
      <c r="G6" s="4">
        <v>79</v>
      </c>
      <c r="H6" s="4">
        <v>84</v>
      </c>
      <c r="I6" s="4">
        <v>87</v>
      </c>
      <c r="J6" s="4">
        <v>83</v>
      </c>
      <c r="K6" s="4">
        <v>85</v>
      </c>
      <c r="L6" s="4"/>
    </row>
    <row r="7" spans="1:12" x14ac:dyDescent="0.45">
      <c r="A7" s="4" t="s">
        <v>127</v>
      </c>
      <c r="B7" s="4" t="s">
        <v>121</v>
      </c>
      <c r="C7" s="4">
        <v>130</v>
      </c>
      <c r="D7" s="4"/>
      <c r="F7" s="4" t="s">
        <v>128</v>
      </c>
      <c r="G7" s="4">
        <v>82</v>
      </c>
      <c r="H7" s="4">
        <v>72</v>
      </c>
      <c r="I7" s="4">
        <v>75</v>
      </c>
      <c r="J7" s="4">
        <v>80</v>
      </c>
      <c r="K7" s="4">
        <v>76</v>
      </c>
      <c r="L7" s="4"/>
    </row>
    <row r="8" spans="1:12" x14ac:dyDescent="0.45">
      <c r="A8" s="4" t="s">
        <v>129</v>
      </c>
      <c r="B8" s="4" t="s">
        <v>121</v>
      </c>
      <c r="C8" s="4">
        <v>120</v>
      </c>
      <c r="D8" s="4"/>
      <c r="F8" s="4" t="s">
        <v>130</v>
      </c>
      <c r="G8" s="4">
        <v>69</v>
      </c>
      <c r="H8" s="4">
        <v>68</v>
      </c>
      <c r="I8" s="4">
        <v>69</v>
      </c>
      <c r="J8" s="4">
        <v>65</v>
      </c>
      <c r="K8" s="4">
        <v>60</v>
      </c>
      <c r="L8" s="4"/>
    </row>
    <row r="9" spans="1:12" x14ac:dyDescent="0.45">
      <c r="A9" s="4" t="s">
        <v>131</v>
      </c>
      <c r="B9" s="4" t="s">
        <v>132</v>
      </c>
      <c r="C9" s="4">
        <v>160</v>
      </c>
      <c r="D9" s="4"/>
      <c r="F9" s="4" t="s">
        <v>133</v>
      </c>
      <c r="G9" s="4">
        <v>77</v>
      </c>
      <c r="H9" s="4">
        <v>82</v>
      </c>
      <c r="I9" s="4">
        <v>71</v>
      </c>
      <c r="J9" s="4">
        <v>80</v>
      </c>
      <c r="K9" s="4">
        <v>75</v>
      </c>
      <c r="L9" s="4"/>
    </row>
    <row r="10" spans="1:12" x14ac:dyDescent="0.45">
      <c r="A10" s="4" t="s">
        <v>134</v>
      </c>
      <c r="B10" s="4" t="s">
        <v>132</v>
      </c>
      <c r="C10" s="4">
        <v>150</v>
      </c>
      <c r="D10" s="4"/>
      <c r="F10" s="4" t="s">
        <v>135</v>
      </c>
      <c r="G10" s="4">
        <v>82</v>
      </c>
      <c r="H10" s="4">
        <v>84</v>
      </c>
      <c r="I10" s="4">
        <v>86</v>
      </c>
      <c r="J10" s="4">
        <v>90</v>
      </c>
      <c r="K10" s="4">
        <v>84</v>
      </c>
      <c r="L10" s="4"/>
    </row>
    <row r="11" spans="1:12" x14ac:dyDescent="0.45">
      <c r="A11" s="4" t="s">
        <v>136</v>
      </c>
      <c r="B11" s="4" t="s">
        <v>121</v>
      </c>
      <c r="C11" s="4">
        <v>180</v>
      </c>
      <c r="D11" s="4"/>
      <c r="F11" s="4" t="s">
        <v>137</v>
      </c>
      <c r="G11" s="4">
        <v>93</v>
      </c>
      <c r="H11" s="4">
        <v>91</v>
      </c>
      <c r="I11" s="4">
        <v>95</v>
      </c>
      <c r="J11" s="4">
        <v>93</v>
      </c>
      <c r="K11" s="4">
        <v>95</v>
      </c>
      <c r="L11" s="4"/>
    </row>
    <row r="13" spans="1:12" x14ac:dyDescent="0.45">
      <c r="A13" s="11" t="s">
        <v>138</v>
      </c>
      <c r="B13" s="12" t="s">
        <v>139</v>
      </c>
      <c r="F13" s="14" t="s">
        <v>140</v>
      </c>
      <c r="G13" s="15" t="s">
        <v>141</v>
      </c>
      <c r="H13" s="16"/>
      <c r="I13" s="17"/>
    </row>
    <row r="14" spans="1:12" x14ac:dyDescent="0.45">
      <c r="A14" s="4" t="s">
        <v>142</v>
      </c>
      <c r="B14" s="4" t="s">
        <v>143</v>
      </c>
      <c r="C14" s="4" t="s">
        <v>144</v>
      </c>
      <c r="D14" s="4" t="s">
        <v>145</v>
      </c>
      <c r="F14" s="18" t="s">
        <v>146</v>
      </c>
      <c r="G14" s="18" t="s">
        <v>147</v>
      </c>
      <c r="H14" s="18" t="s">
        <v>148</v>
      </c>
      <c r="I14" s="18" t="s">
        <v>149</v>
      </c>
    </row>
    <row r="15" spans="1:12" x14ac:dyDescent="0.45">
      <c r="A15" s="4">
        <v>168001</v>
      </c>
      <c r="B15" s="4" t="s">
        <v>150</v>
      </c>
      <c r="C15" s="4">
        <v>35</v>
      </c>
      <c r="D15" s="19">
        <v>7.6006944444444446E-2</v>
      </c>
      <c r="F15" s="20" t="s">
        <v>151</v>
      </c>
      <c r="G15" s="18" t="s">
        <v>152</v>
      </c>
      <c r="H15" s="18">
        <v>243</v>
      </c>
      <c r="I15" s="21">
        <f>H15*12500</f>
        <v>3037500</v>
      </c>
    </row>
    <row r="16" spans="1:12" x14ac:dyDescent="0.45">
      <c r="A16" s="4">
        <v>168002</v>
      </c>
      <c r="B16" s="4" t="s">
        <v>153</v>
      </c>
      <c r="C16" s="4">
        <v>42</v>
      </c>
      <c r="D16" s="19">
        <v>7.3506944444444444E-2</v>
      </c>
      <c r="F16" s="20" t="s">
        <v>151</v>
      </c>
      <c r="G16" s="18" t="s">
        <v>154</v>
      </c>
      <c r="H16" s="18">
        <v>385</v>
      </c>
      <c r="I16" s="21">
        <f>H16*12500</f>
        <v>4812500</v>
      </c>
    </row>
    <row r="17" spans="1:10" x14ac:dyDescent="0.45">
      <c r="A17" s="4">
        <v>168003</v>
      </c>
      <c r="B17" s="4" t="s">
        <v>7</v>
      </c>
      <c r="C17" s="4">
        <v>29</v>
      </c>
      <c r="D17" s="19">
        <v>8.5717592592592595E-2</v>
      </c>
      <c r="F17" s="20" t="s">
        <v>151</v>
      </c>
      <c r="G17" s="18" t="s">
        <v>155</v>
      </c>
      <c r="H17" s="18">
        <v>196</v>
      </c>
      <c r="I17" s="21">
        <f>H17*12500</f>
        <v>2450000</v>
      </c>
    </row>
    <row r="18" spans="1:10" x14ac:dyDescent="0.45">
      <c r="A18" s="4">
        <v>168004</v>
      </c>
      <c r="B18" s="4" t="s">
        <v>156</v>
      </c>
      <c r="C18" s="4">
        <v>38</v>
      </c>
      <c r="D18" s="19">
        <v>7.7256944444444434E-2</v>
      </c>
      <c r="F18" s="20" t="s">
        <v>157</v>
      </c>
      <c r="G18" s="18" t="s">
        <v>152</v>
      </c>
      <c r="H18" s="18">
        <v>134</v>
      </c>
      <c r="I18" s="21">
        <f>H18*9500</f>
        <v>1273000</v>
      </c>
    </row>
    <row r="19" spans="1:10" x14ac:dyDescent="0.45">
      <c r="A19" s="4">
        <v>168005</v>
      </c>
      <c r="B19" s="4" t="s">
        <v>153</v>
      </c>
      <c r="C19" s="4">
        <v>44</v>
      </c>
      <c r="D19" s="19">
        <v>6.3981481481481486E-2</v>
      </c>
      <c r="F19" s="20" t="s">
        <v>157</v>
      </c>
      <c r="G19" s="18" t="s">
        <v>154</v>
      </c>
      <c r="H19" s="18">
        <v>310</v>
      </c>
      <c r="I19" s="21">
        <f>H19*9500</f>
        <v>2945000</v>
      </c>
    </row>
    <row r="20" spans="1:10" x14ac:dyDescent="0.45">
      <c r="A20" s="4">
        <v>168006</v>
      </c>
      <c r="B20" s="4" t="s">
        <v>158</v>
      </c>
      <c r="C20" s="4">
        <v>51</v>
      </c>
      <c r="D20" s="19">
        <v>7.075231481481481E-2</v>
      </c>
      <c r="F20" s="20" t="s">
        <v>157</v>
      </c>
      <c r="G20" s="18" t="s">
        <v>155</v>
      </c>
      <c r="H20" s="18">
        <v>251</v>
      </c>
      <c r="I20" s="21">
        <f>H20*9500</f>
        <v>2384500</v>
      </c>
    </row>
    <row r="21" spans="1:10" x14ac:dyDescent="0.45">
      <c r="A21" s="4">
        <v>168007</v>
      </c>
      <c r="B21" s="4" t="s">
        <v>150</v>
      </c>
      <c r="C21" s="4">
        <v>32</v>
      </c>
      <c r="D21" s="19">
        <v>8.4224537037037028E-2</v>
      </c>
      <c r="F21" s="20" t="s">
        <v>159</v>
      </c>
      <c r="G21" s="18" t="s">
        <v>152</v>
      </c>
      <c r="H21" s="18">
        <v>89</v>
      </c>
      <c r="I21" s="21">
        <f>H21*85500</f>
        <v>7609500</v>
      </c>
    </row>
    <row r="22" spans="1:10" x14ac:dyDescent="0.45">
      <c r="A22" s="4">
        <v>168008</v>
      </c>
      <c r="B22" s="4" t="s">
        <v>7</v>
      </c>
      <c r="C22" s="4">
        <v>40</v>
      </c>
      <c r="D22" s="19">
        <v>6.9004629629629624E-2</v>
      </c>
      <c r="F22" s="20" t="s">
        <v>159</v>
      </c>
      <c r="G22" s="18" t="s">
        <v>154</v>
      </c>
      <c r="H22" s="18">
        <v>101</v>
      </c>
      <c r="I22" s="21">
        <f>H22*85500</f>
        <v>8635500</v>
      </c>
    </row>
    <row r="23" spans="1:10" x14ac:dyDescent="0.45">
      <c r="A23" s="4">
        <v>168009</v>
      </c>
      <c r="B23" s="4" t="s">
        <v>156</v>
      </c>
      <c r="C23" s="4">
        <v>23</v>
      </c>
      <c r="D23" s="19">
        <v>8.0844907407407407E-2</v>
      </c>
      <c r="F23" s="20" t="s">
        <v>159</v>
      </c>
      <c r="G23" s="18" t="s">
        <v>155</v>
      </c>
      <c r="H23" s="18">
        <v>67</v>
      </c>
      <c r="I23" s="21">
        <f>H23*85500</f>
        <v>5728500</v>
      </c>
    </row>
    <row r="24" spans="1:10" x14ac:dyDescent="0.45">
      <c r="A24" s="22" t="s">
        <v>160</v>
      </c>
      <c r="B24" s="23"/>
      <c r="C24" s="24"/>
      <c r="D24" s="25"/>
      <c r="F24" s="26" t="s">
        <v>161</v>
      </c>
      <c r="G24" s="27"/>
      <c r="H24" s="28"/>
      <c r="I24" s="29"/>
    </row>
    <row r="26" spans="1:10" x14ac:dyDescent="0.45">
      <c r="A26" s="11" t="s">
        <v>162</v>
      </c>
      <c r="B26" s="12" t="s">
        <v>163</v>
      </c>
    </row>
    <row r="27" spans="1:10" x14ac:dyDescent="0.45">
      <c r="A27" s="4" t="s">
        <v>164</v>
      </c>
      <c r="B27" s="4" t="s">
        <v>165</v>
      </c>
      <c r="C27" s="4" t="s">
        <v>67</v>
      </c>
      <c r="D27" s="13" t="s">
        <v>166</v>
      </c>
      <c r="F27" t="s">
        <v>167</v>
      </c>
    </row>
    <row r="28" spans="1:10" x14ac:dyDescent="0.45">
      <c r="A28" s="4">
        <v>1</v>
      </c>
      <c r="B28" s="4" t="s">
        <v>168</v>
      </c>
      <c r="C28" s="4">
        <v>3</v>
      </c>
      <c r="D28" s="6"/>
      <c r="F28" s="4" t="s">
        <v>165</v>
      </c>
      <c r="G28" s="4" t="s">
        <v>169</v>
      </c>
      <c r="H28" s="4" t="s">
        <v>168</v>
      </c>
      <c r="I28" s="4" t="s">
        <v>170</v>
      </c>
      <c r="J28" s="4" t="s">
        <v>171</v>
      </c>
    </row>
    <row r="29" spans="1:10" x14ac:dyDescent="0.45">
      <c r="A29" s="4">
        <v>2</v>
      </c>
      <c r="B29" s="4" t="s">
        <v>171</v>
      </c>
      <c r="C29" s="4">
        <v>2</v>
      </c>
      <c r="D29" s="6"/>
      <c r="F29" s="4" t="s">
        <v>172</v>
      </c>
      <c r="G29" s="6">
        <v>3500</v>
      </c>
      <c r="H29" s="6">
        <v>5000</v>
      </c>
      <c r="I29" s="6">
        <v>5500</v>
      </c>
      <c r="J29" s="6">
        <v>7000</v>
      </c>
    </row>
    <row r="30" spans="1:10" x14ac:dyDescent="0.45">
      <c r="A30" s="4">
        <v>3</v>
      </c>
      <c r="B30" s="4" t="s">
        <v>169</v>
      </c>
      <c r="C30" s="4">
        <v>5</v>
      </c>
      <c r="D30" s="6"/>
    </row>
    <row r="31" spans="1:10" x14ac:dyDescent="0.45">
      <c r="A31" s="4">
        <v>4</v>
      </c>
      <c r="B31" s="4" t="s">
        <v>170</v>
      </c>
      <c r="C31" s="4">
        <v>3</v>
      </c>
      <c r="D31" s="6"/>
    </row>
    <row r="32" spans="1:10" x14ac:dyDescent="0.45">
      <c r="A32" s="4">
        <v>5</v>
      </c>
      <c r="B32" s="4" t="s">
        <v>170</v>
      </c>
      <c r="C32" s="4">
        <v>2</v>
      </c>
      <c r="D32" s="6"/>
    </row>
    <row r="33" spans="1:4" x14ac:dyDescent="0.45">
      <c r="A33" s="4">
        <v>6</v>
      </c>
      <c r="B33" s="4" t="s">
        <v>173</v>
      </c>
      <c r="C33" s="4">
        <v>4</v>
      </c>
      <c r="D33" s="6"/>
    </row>
    <row r="34" spans="1:4" x14ac:dyDescent="0.45">
      <c r="A34" s="4">
        <v>7</v>
      </c>
      <c r="B34" s="4" t="s">
        <v>171</v>
      </c>
      <c r="C34" s="4">
        <v>3</v>
      </c>
      <c r="D34" s="6"/>
    </row>
    <row r="35" spans="1:4" x14ac:dyDescent="0.45">
      <c r="A35" s="4">
        <v>8</v>
      </c>
      <c r="B35" s="4" t="s">
        <v>168</v>
      </c>
      <c r="C35" s="4">
        <v>5</v>
      </c>
      <c r="D35" s="6"/>
    </row>
    <row r="36" spans="1:4" x14ac:dyDescent="0.45">
      <c r="A36" s="4">
        <v>9</v>
      </c>
      <c r="B36" s="4" t="s">
        <v>169</v>
      </c>
      <c r="C36" s="4">
        <v>6</v>
      </c>
      <c r="D36" s="6"/>
    </row>
  </sheetData>
  <mergeCells count="3">
    <mergeCell ref="A24:B24"/>
    <mergeCell ref="C24:D24"/>
    <mergeCell ref="F24:H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7BD88-7593-46CF-9712-FD392F193CB3}">
  <dimension ref="A1:G15"/>
  <sheetViews>
    <sheetView workbookViewId="0">
      <selection sqref="A1:G1"/>
    </sheetView>
  </sheetViews>
  <sheetFormatPr defaultRowHeight="17" x14ac:dyDescent="0.45"/>
  <cols>
    <col min="4" max="7" width="10.58203125" bestFit="1" customWidth="1"/>
  </cols>
  <sheetData>
    <row r="1" spans="1:7" ht="21" x14ac:dyDescent="0.45">
      <c r="A1" s="10" t="s">
        <v>36</v>
      </c>
      <c r="B1" s="10"/>
      <c r="C1" s="10"/>
      <c r="D1" s="10"/>
      <c r="E1" s="10"/>
      <c r="F1" s="10"/>
      <c r="G1" s="10"/>
    </row>
    <row r="3" spans="1:7" x14ac:dyDescent="0.45">
      <c r="A3" s="4" t="s">
        <v>37</v>
      </c>
      <c r="B3" s="4" t="s">
        <v>38</v>
      </c>
      <c r="C3" s="4" t="s">
        <v>39</v>
      </c>
      <c r="D3" s="4" t="s">
        <v>40</v>
      </c>
      <c r="E3" s="4" t="s">
        <v>41</v>
      </c>
      <c r="F3" s="4" t="s">
        <v>42</v>
      </c>
      <c r="G3" s="4" t="s">
        <v>43</v>
      </c>
    </row>
    <row r="4" spans="1:7" x14ac:dyDescent="0.45">
      <c r="A4" s="4" t="s">
        <v>44</v>
      </c>
      <c r="B4" s="4" t="s">
        <v>45</v>
      </c>
      <c r="C4" s="4" t="s">
        <v>46</v>
      </c>
      <c r="D4" s="6">
        <v>4823000</v>
      </c>
      <c r="E4" s="6">
        <v>1929000</v>
      </c>
      <c r="F4" s="6">
        <v>1080000</v>
      </c>
      <c r="G4" s="6">
        <v>5672000</v>
      </c>
    </row>
    <row r="5" spans="1:7" x14ac:dyDescent="0.45">
      <c r="A5" s="4" t="s">
        <v>47</v>
      </c>
      <c r="B5" s="4" t="s">
        <v>48</v>
      </c>
      <c r="C5" s="4" t="s">
        <v>46</v>
      </c>
      <c r="D5" s="6">
        <v>4979000</v>
      </c>
      <c r="E5" s="6">
        <v>1992000</v>
      </c>
      <c r="F5" s="6">
        <v>1115000</v>
      </c>
      <c r="G5" s="6">
        <v>5856000</v>
      </c>
    </row>
    <row r="6" spans="1:7" x14ac:dyDescent="0.45">
      <c r="A6" s="4" t="s">
        <v>49</v>
      </c>
      <c r="B6" s="4" t="s">
        <v>50</v>
      </c>
      <c r="C6" s="4" t="s">
        <v>46</v>
      </c>
      <c r="D6" s="6">
        <v>4771000</v>
      </c>
      <c r="E6" s="6">
        <v>1908000</v>
      </c>
      <c r="F6" s="6">
        <v>1069000</v>
      </c>
      <c r="G6" s="6">
        <v>5610000</v>
      </c>
    </row>
    <row r="7" spans="1:7" x14ac:dyDescent="0.45">
      <c r="A7" s="4" t="s">
        <v>49</v>
      </c>
      <c r="B7" s="4" t="s">
        <v>51</v>
      </c>
      <c r="C7" s="4" t="s">
        <v>52</v>
      </c>
      <c r="D7" s="6">
        <v>4342000</v>
      </c>
      <c r="E7" s="6">
        <v>1737000</v>
      </c>
      <c r="F7" s="6">
        <v>973000</v>
      </c>
      <c r="G7" s="6">
        <v>5106000</v>
      </c>
    </row>
    <row r="8" spans="1:7" x14ac:dyDescent="0.45">
      <c r="A8" s="4" t="s">
        <v>44</v>
      </c>
      <c r="B8" s="4" t="s">
        <v>53</v>
      </c>
      <c r="C8" s="4" t="s">
        <v>52</v>
      </c>
      <c r="D8" s="6">
        <v>4186000</v>
      </c>
      <c r="E8" s="6">
        <v>1674000</v>
      </c>
      <c r="F8" s="6">
        <v>938000</v>
      </c>
      <c r="G8" s="6">
        <v>4922000</v>
      </c>
    </row>
    <row r="9" spans="1:7" x14ac:dyDescent="0.45">
      <c r="A9" s="4" t="s">
        <v>47</v>
      </c>
      <c r="B9" s="4" t="s">
        <v>54</v>
      </c>
      <c r="C9" s="4" t="s">
        <v>52</v>
      </c>
      <c r="D9" s="6">
        <v>4095000</v>
      </c>
      <c r="E9" s="6">
        <v>1638000</v>
      </c>
      <c r="F9" s="6">
        <v>917000</v>
      </c>
      <c r="G9" s="6">
        <v>4816000</v>
      </c>
    </row>
    <row r="10" spans="1:7" x14ac:dyDescent="0.45">
      <c r="A10" s="4" t="s">
        <v>49</v>
      </c>
      <c r="B10" s="4" t="s">
        <v>55</v>
      </c>
      <c r="C10" s="4" t="s">
        <v>56</v>
      </c>
      <c r="D10" s="6">
        <v>3822000</v>
      </c>
      <c r="E10" s="6">
        <v>1529000</v>
      </c>
      <c r="F10" s="6">
        <v>856000</v>
      </c>
      <c r="G10" s="6">
        <v>4495000</v>
      </c>
    </row>
    <row r="11" spans="1:7" x14ac:dyDescent="0.45">
      <c r="A11" s="4" t="s">
        <v>44</v>
      </c>
      <c r="B11" s="4" t="s">
        <v>57</v>
      </c>
      <c r="C11" s="4" t="s">
        <v>56</v>
      </c>
      <c r="D11" s="6">
        <v>3770000</v>
      </c>
      <c r="E11" s="6">
        <v>1508000</v>
      </c>
      <c r="F11" s="6">
        <v>844000</v>
      </c>
      <c r="G11" s="6">
        <v>4434000</v>
      </c>
    </row>
    <row r="12" spans="1:7" x14ac:dyDescent="0.45">
      <c r="A12" s="4" t="s">
        <v>47</v>
      </c>
      <c r="B12" s="4" t="s">
        <v>58</v>
      </c>
      <c r="C12" s="4" t="s">
        <v>56</v>
      </c>
      <c r="D12" s="6">
        <v>3718000</v>
      </c>
      <c r="E12" s="6">
        <v>1487000</v>
      </c>
      <c r="F12" s="6">
        <v>833000</v>
      </c>
      <c r="G12" s="6">
        <v>4372000</v>
      </c>
    </row>
    <row r="13" spans="1:7" x14ac:dyDescent="0.45">
      <c r="A13" s="4" t="s">
        <v>47</v>
      </c>
      <c r="B13" s="4" t="s">
        <v>59</v>
      </c>
      <c r="C13" s="4" t="s">
        <v>60</v>
      </c>
      <c r="D13" s="6">
        <v>3588000</v>
      </c>
      <c r="E13" s="6">
        <v>1435000</v>
      </c>
      <c r="F13" s="6">
        <v>804000</v>
      </c>
      <c r="G13" s="6">
        <v>4219000</v>
      </c>
    </row>
    <row r="14" spans="1:7" x14ac:dyDescent="0.45">
      <c r="A14" s="4" t="s">
        <v>44</v>
      </c>
      <c r="B14" s="4" t="s">
        <v>61</v>
      </c>
      <c r="C14" s="4" t="s">
        <v>60</v>
      </c>
      <c r="D14" s="6">
        <v>3549000</v>
      </c>
      <c r="E14" s="6">
        <v>1420000</v>
      </c>
      <c r="F14" s="6">
        <v>795000</v>
      </c>
      <c r="G14" s="6">
        <v>4174000</v>
      </c>
    </row>
    <row r="15" spans="1:7" x14ac:dyDescent="0.45">
      <c r="A15" s="4" t="s">
        <v>49</v>
      </c>
      <c r="B15" s="4" t="s">
        <v>62</v>
      </c>
      <c r="C15" s="4" t="s">
        <v>60</v>
      </c>
      <c r="D15" s="6">
        <v>3484000</v>
      </c>
      <c r="E15" s="6">
        <v>1394000</v>
      </c>
      <c r="F15" s="6">
        <v>780000</v>
      </c>
      <c r="G15" s="6">
        <v>4098000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890AA-6A4B-4B58-B783-CC4EF358AD75}">
  <dimension ref="B1:G13"/>
  <sheetViews>
    <sheetView workbookViewId="0"/>
  </sheetViews>
  <sheetFormatPr defaultRowHeight="17" x14ac:dyDescent="0.45"/>
  <cols>
    <col min="1" max="1" width="2.58203125" customWidth="1"/>
    <col min="4" max="4" width="11.6640625" bestFit="1" customWidth="1"/>
    <col min="6" max="7" width="11.6640625" bestFit="1" customWidth="1"/>
  </cols>
  <sheetData>
    <row r="1" spans="2:7" ht="21" x14ac:dyDescent="0.45">
      <c r="B1" s="10" t="s">
        <v>63</v>
      </c>
      <c r="C1" s="10"/>
      <c r="D1" s="10"/>
      <c r="E1" s="10"/>
      <c r="F1" s="10"/>
      <c r="G1" s="10"/>
    </row>
    <row r="2" spans="2:7" x14ac:dyDescent="0.45">
      <c r="F2" s="7" t="s">
        <v>64</v>
      </c>
      <c r="G2" s="8">
        <v>1200</v>
      </c>
    </row>
    <row r="3" spans="2:7" x14ac:dyDescent="0.45">
      <c r="B3" s="4" t="s">
        <v>37</v>
      </c>
      <c r="C3" s="4" t="s">
        <v>65</v>
      </c>
      <c r="D3" s="4" t="s">
        <v>66</v>
      </c>
      <c r="E3" s="4" t="s">
        <v>67</v>
      </c>
      <c r="F3" s="4" t="s">
        <v>68</v>
      </c>
      <c r="G3" s="4" t="s">
        <v>69</v>
      </c>
    </row>
    <row r="4" spans="2:7" x14ac:dyDescent="0.45">
      <c r="B4" s="4" t="s">
        <v>47</v>
      </c>
      <c r="C4" s="4" t="s">
        <v>70</v>
      </c>
      <c r="D4" s="9">
        <v>150</v>
      </c>
      <c r="E4" s="4">
        <v>3</v>
      </c>
      <c r="F4" s="4">
        <v>4</v>
      </c>
      <c r="G4" s="9">
        <f>(D4*E4*$G$2)+(F4*$G$2)</f>
        <v>544800</v>
      </c>
    </row>
    <row r="5" spans="2:7" x14ac:dyDescent="0.45">
      <c r="B5" s="4" t="s">
        <v>44</v>
      </c>
      <c r="C5" s="4" t="s">
        <v>71</v>
      </c>
      <c r="D5" s="9">
        <v>80</v>
      </c>
      <c r="E5" s="4">
        <v>1</v>
      </c>
      <c r="F5" s="4">
        <v>3</v>
      </c>
      <c r="G5" s="9">
        <f t="shared" ref="G5:G12" si="0">(D5*E5*$G$2)+(F5*$G$2)</f>
        <v>99600</v>
      </c>
    </row>
    <row r="6" spans="2:7" x14ac:dyDescent="0.45">
      <c r="B6" s="4" t="s">
        <v>72</v>
      </c>
      <c r="C6" s="4" t="s">
        <v>73</v>
      </c>
      <c r="D6" s="9">
        <v>384</v>
      </c>
      <c r="E6" s="4">
        <v>2</v>
      </c>
      <c r="F6" s="4">
        <v>6</v>
      </c>
      <c r="G6" s="9">
        <f t="shared" si="0"/>
        <v>928800</v>
      </c>
    </row>
    <row r="7" spans="2:7" x14ac:dyDescent="0.45">
      <c r="B7" s="4" t="s">
        <v>47</v>
      </c>
      <c r="C7" s="4" t="s">
        <v>74</v>
      </c>
      <c r="D7" s="9">
        <v>55</v>
      </c>
      <c r="E7" s="4">
        <v>5</v>
      </c>
      <c r="F7" s="4">
        <v>12</v>
      </c>
      <c r="G7" s="9">
        <f t="shared" si="0"/>
        <v>344400</v>
      </c>
    </row>
    <row r="8" spans="2:7" x14ac:dyDescent="0.45">
      <c r="B8" s="4" t="s">
        <v>44</v>
      </c>
      <c r="C8" s="4" t="s">
        <v>75</v>
      </c>
      <c r="D8" s="9">
        <v>97</v>
      </c>
      <c r="E8" s="4">
        <v>2</v>
      </c>
      <c r="F8" s="4">
        <v>5</v>
      </c>
      <c r="G8" s="9">
        <f t="shared" si="0"/>
        <v>238800</v>
      </c>
    </row>
    <row r="9" spans="2:7" x14ac:dyDescent="0.45">
      <c r="B9" s="4" t="s">
        <v>72</v>
      </c>
      <c r="C9" s="4" t="s">
        <v>76</v>
      </c>
      <c r="D9" s="9">
        <v>265</v>
      </c>
      <c r="E9" s="4">
        <v>4</v>
      </c>
      <c r="F9" s="4">
        <v>10</v>
      </c>
      <c r="G9" s="9">
        <f t="shared" si="0"/>
        <v>1284000</v>
      </c>
    </row>
    <row r="10" spans="2:7" x14ac:dyDescent="0.45">
      <c r="B10" s="4" t="s">
        <v>72</v>
      </c>
      <c r="C10" s="4" t="s">
        <v>77</v>
      </c>
      <c r="D10" s="9">
        <v>200</v>
      </c>
      <c r="E10" s="4">
        <v>3</v>
      </c>
      <c r="F10" s="4">
        <v>8</v>
      </c>
      <c r="G10" s="9">
        <f t="shared" si="0"/>
        <v>729600</v>
      </c>
    </row>
    <row r="11" spans="2:7" x14ac:dyDescent="0.45">
      <c r="B11" s="4" t="s">
        <v>47</v>
      </c>
      <c r="C11" s="4" t="s">
        <v>78</v>
      </c>
      <c r="D11" s="9">
        <v>83</v>
      </c>
      <c r="E11" s="4">
        <v>3</v>
      </c>
      <c r="F11" s="4">
        <v>7</v>
      </c>
      <c r="G11" s="9">
        <f t="shared" si="0"/>
        <v>307200</v>
      </c>
    </row>
    <row r="12" spans="2:7" x14ac:dyDescent="0.45">
      <c r="B12" s="4" t="s">
        <v>44</v>
      </c>
      <c r="C12" s="4" t="s">
        <v>79</v>
      </c>
      <c r="D12" s="9">
        <v>191</v>
      </c>
      <c r="E12" s="4">
        <v>2</v>
      </c>
      <c r="F12" s="4">
        <v>5</v>
      </c>
      <c r="G12" s="9">
        <f t="shared" si="0"/>
        <v>464400</v>
      </c>
    </row>
    <row r="13" spans="2:7" x14ac:dyDescent="0.45">
      <c r="F13" s="4" t="s">
        <v>80</v>
      </c>
      <c r="G13" s="9">
        <f>SUM(G4:G12)</f>
        <v>4941600</v>
      </c>
    </row>
  </sheetData>
  <mergeCells count="1">
    <mergeCell ref="B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8FAEA-5533-4AFB-85E7-58A7E70A3C0B}">
  <dimension ref="A1:H8"/>
  <sheetViews>
    <sheetView workbookViewId="0">
      <selection sqref="A1:H1"/>
    </sheetView>
  </sheetViews>
  <sheetFormatPr defaultRowHeight="17" x14ac:dyDescent="0.45"/>
  <cols>
    <col min="2" max="8" width="7.08203125" customWidth="1"/>
  </cols>
  <sheetData>
    <row r="1" spans="1:8" ht="21" x14ac:dyDescent="0.45">
      <c r="A1" s="10" t="s">
        <v>81</v>
      </c>
      <c r="B1" s="10"/>
      <c r="C1" s="10"/>
      <c r="D1" s="10"/>
      <c r="E1" s="10"/>
      <c r="F1" s="10"/>
      <c r="G1" s="10"/>
      <c r="H1" s="10"/>
    </row>
    <row r="3" spans="1:8" x14ac:dyDescent="0.45">
      <c r="A3" s="4" t="s">
        <v>82</v>
      </c>
      <c r="B3" s="4" t="s">
        <v>83</v>
      </c>
      <c r="C3" s="4" t="s">
        <v>84</v>
      </c>
      <c r="D3" s="4" t="s">
        <v>85</v>
      </c>
      <c r="E3" s="4" t="s">
        <v>86</v>
      </c>
      <c r="F3" s="4" t="s">
        <v>87</v>
      </c>
      <c r="G3" s="4" t="s">
        <v>88</v>
      </c>
      <c r="H3" s="4" t="s">
        <v>89</v>
      </c>
    </row>
    <row r="4" spans="1:8" x14ac:dyDescent="0.45">
      <c r="A4" s="4" t="s">
        <v>90</v>
      </c>
      <c r="B4" s="6">
        <v>6552</v>
      </c>
      <c r="C4" s="6">
        <v>6916</v>
      </c>
      <c r="D4" s="6">
        <v>6734</v>
      </c>
      <c r="E4" s="6">
        <v>7098</v>
      </c>
      <c r="F4" s="6">
        <v>6516</v>
      </c>
      <c r="G4" s="6">
        <v>7247</v>
      </c>
      <c r="H4" s="6"/>
    </row>
    <row r="5" spans="1:8" x14ac:dyDescent="0.45">
      <c r="A5" s="4" t="s">
        <v>91</v>
      </c>
      <c r="B5" s="6">
        <v>5278</v>
      </c>
      <c r="C5" s="6">
        <v>4914</v>
      </c>
      <c r="D5" s="6">
        <v>5278</v>
      </c>
      <c r="E5" s="6">
        <v>5096</v>
      </c>
      <c r="F5" s="6">
        <v>5430</v>
      </c>
      <c r="G5" s="6">
        <v>5241</v>
      </c>
      <c r="H5" s="6"/>
    </row>
    <row r="6" spans="1:8" x14ac:dyDescent="0.45">
      <c r="A6" s="4" t="s">
        <v>92</v>
      </c>
      <c r="B6" s="6">
        <v>4004</v>
      </c>
      <c r="C6" s="6">
        <v>4732</v>
      </c>
      <c r="D6" s="6">
        <v>5249</v>
      </c>
      <c r="E6" s="6">
        <v>4887</v>
      </c>
      <c r="F6" s="6">
        <v>5124</v>
      </c>
      <c r="G6" s="6">
        <v>4935</v>
      </c>
      <c r="H6" s="6"/>
    </row>
    <row r="7" spans="1:8" x14ac:dyDescent="0.45">
      <c r="A7" s="4" t="s">
        <v>93</v>
      </c>
      <c r="B7" s="6">
        <v>5642</v>
      </c>
      <c r="C7" s="6">
        <v>5096</v>
      </c>
      <c r="D7" s="6">
        <v>5824</v>
      </c>
      <c r="E7" s="6">
        <v>5460</v>
      </c>
      <c r="F7" s="6">
        <v>5611</v>
      </c>
      <c r="G7" s="6">
        <v>5517</v>
      </c>
      <c r="H7" s="6"/>
    </row>
    <row r="8" spans="1:8" x14ac:dyDescent="0.45">
      <c r="A8" s="4" t="s">
        <v>94</v>
      </c>
      <c r="B8" s="6">
        <v>4914</v>
      </c>
      <c r="C8" s="6">
        <v>4004</v>
      </c>
      <c r="D8" s="6">
        <v>3801</v>
      </c>
      <c r="E8" s="6">
        <v>4344</v>
      </c>
      <c r="F8" s="6">
        <v>4209</v>
      </c>
      <c r="G8" s="6">
        <v>3924</v>
      </c>
      <c r="H8" s="6"/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6B331-8D89-4237-A9C0-3681E2AC3E5A}">
  <dimension ref="B1:F8"/>
  <sheetViews>
    <sheetView workbookViewId="0">
      <selection activeCell="B1" sqref="B1:F1"/>
    </sheetView>
  </sheetViews>
  <sheetFormatPr defaultRowHeight="17" x14ac:dyDescent="0.45"/>
  <cols>
    <col min="1" max="1" width="2.58203125" customWidth="1"/>
  </cols>
  <sheetData>
    <row r="1" spans="2:6" ht="21" x14ac:dyDescent="0.45">
      <c r="B1" s="10" t="s">
        <v>95</v>
      </c>
      <c r="C1" s="10"/>
      <c r="D1" s="10"/>
      <c r="E1" s="10"/>
      <c r="F1" s="10"/>
    </row>
    <row r="3" spans="2:6" x14ac:dyDescent="0.45">
      <c r="B3" s="4" t="s">
        <v>96</v>
      </c>
      <c r="C3" s="4" t="s">
        <v>97</v>
      </c>
      <c r="D3" s="4" t="s">
        <v>98</v>
      </c>
      <c r="E3" s="4" t="s">
        <v>99</v>
      </c>
      <c r="F3" s="4" t="s">
        <v>20</v>
      </c>
    </row>
    <row r="4" spans="2:6" x14ac:dyDescent="0.45">
      <c r="B4" s="4" t="s">
        <v>8</v>
      </c>
      <c r="C4" s="4">
        <v>101</v>
      </c>
      <c r="D4" s="4">
        <v>106</v>
      </c>
      <c r="E4" s="4">
        <v>123</v>
      </c>
      <c r="F4" s="4">
        <f>SUM(C4:E4)</f>
        <v>330</v>
      </c>
    </row>
    <row r="5" spans="2:6" x14ac:dyDescent="0.45">
      <c r="B5" s="4" t="s">
        <v>100</v>
      </c>
      <c r="C5" s="4">
        <v>147</v>
      </c>
      <c r="D5" s="4">
        <v>128</v>
      </c>
      <c r="E5" s="4">
        <v>150</v>
      </c>
      <c r="F5" s="4">
        <f t="shared" ref="F5:F8" si="0">SUM(C5:E5)</f>
        <v>425</v>
      </c>
    </row>
    <row r="6" spans="2:6" x14ac:dyDescent="0.45">
      <c r="B6" s="4" t="s">
        <v>10</v>
      </c>
      <c r="C6" s="4">
        <v>46</v>
      </c>
      <c r="D6" s="4">
        <v>64</v>
      </c>
      <c r="E6" s="4">
        <v>77</v>
      </c>
      <c r="F6" s="4">
        <f t="shared" si="0"/>
        <v>187</v>
      </c>
    </row>
    <row r="7" spans="2:6" x14ac:dyDescent="0.45">
      <c r="B7" s="4" t="s">
        <v>101</v>
      </c>
      <c r="C7" s="4">
        <v>52</v>
      </c>
      <c r="D7" s="4">
        <v>39</v>
      </c>
      <c r="E7" s="4">
        <v>58</v>
      </c>
      <c r="F7" s="4">
        <f t="shared" si="0"/>
        <v>149</v>
      </c>
    </row>
    <row r="8" spans="2:6" x14ac:dyDescent="0.45">
      <c r="B8" s="4" t="s">
        <v>102</v>
      </c>
      <c r="C8" s="4">
        <v>59</v>
      </c>
      <c r="D8" s="4">
        <v>72</v>
      </c>
      <c r="E8" s="4">
        <v>86</v>
      </c>
      <c r="F8" s="4">
        <f t="shared" si="0"/>
        <v>217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2025-02-17T09:00:52Z</dcterms:modified>
</cp:coreProperties>
</file>