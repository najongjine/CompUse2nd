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2_메일링용\2025년 컴활2급 상시04\"/>
    </mc:Choice>
  </mc:AlternateContent>
  <xr:revisionPtr revIDLastSave="0" documentId="13_ncr:1_{F6B2ADC6-EC53-47CE-90E6-70205A6955F8}" xr6:coauthVersionLast="47" xr6:coauthVersionMax="47" xr10:uidLastSave="{00000000-0000-0000-0000-000000000000}"/>
  <bookViews>
    <workbookView xWindow="-31820" yWindow="3570" windowWidth="22430" windowHeight="17480" xr2:uid="{454C2710-479D-43CF-B081-445713A883DF}"/>
  </bookViews>
  <sheets>
    <sheet name="기본작업-1" sheetId="11" r:id="rId1"/>
    <sheet name="기본작업-2" sheetId="9" r:id="rId2"/>
    <sheet name="기본작업-3" sheetId="3" r:id="rId3"/>
    <sheet name="계산작업" sheetId="4" r:id="rId4"/>
    <sheet name="분석작업-1" sheetId="5" r:id="rId5"/>
    <sheet name="시나리오 요약" sheetId="12" r:id="rId6"/>
    <sheet name="분석작업-2" sheetId="6" r:id="rId7"/>
    <sheet name="매크로작업" sheetId="8" r:id="rId8"/>
    <sheet name="차트작업" sheetId="7" r:id="rId9"/>
  </sheets>
  <definedNames>
    <definedName name="지역" localSheetId="0">#REF!</definedName>
    <definedName name="지역">'기본작업-2'!$B$4:$B$15</definedName>
    <definedName name="총구매금액">'분석작업-2'!$G$13</definedName>
    <definedName name="환율">'분석작업-2'!$G$2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4" l="1"/>
  <c r="D30" i="4"/>
  <c r="D31" i="4"/>
  <c r="D32" i="4"/>
  <c r="D33" i="4"/>
  <c r="D34" i="4"/>
  <c r="D35" i="4"/>
  <c r="D36" i="4"/>
  <c r="D28" i="4"/>
  <c r="I24" i="4"/>
  <c r="I23" i="4"/>
  <c r="I22" i="4"/>
  <c r="I21" i="4"/>
  <c r="I20" i="4"/>
  <c r="I19" i="4"/>
  <c r="I18" i="4"/>
  <c r="I17" i="4"/>
  <c r="I16" i="4"/>
  <c r="I15" i="4"/>
  <c r="C24" i="4" l="1"/>
  <c r="L11" i="4" l="1"/>
  <c r="L10" i="4"/>
  <c r="L9" i="4"/>
  <c r="L8" i="4"/>
  <c r="L7" i="4"/>
  <c r="L6" i="4"/>
  <c r="L5" i="4"/>
  <c r="L4" i="4"/>
  <c r="L3" i="4"/>
  <c r="D11" i="4" l="1"/>
  <c r="D10" i="4"/>
  <c r="D9" i="4"/>
  <c r="D8" i="4"/>
  <c r="D7" i="4"/>
  <c r="D6" i="4"/>
  <c r="D5" i="4"/>
  <c r="D4" i="4"/>
  <c r="D3" i="4"/>
  <c r="F5" i="7" l="1"/>
  <c r="F6" i="7"/>
  <c r="F7" i="7"/>
  <c r="F8" i="7"/>
  <c r="F4" i="7"/>
  <c r="H5" i="8" l="1"/>
  <c r="H6" i="8"/>
  <c r="H7" i="8"/>
  <c r="H8" i="8"/>
  <c r="H4" i="8"/>
  <c r="F20" i="5" l="1"/>
  <c r="E20" i="5"/>
  <c r="D20" i="5"/>
  <c r="F14" i="5"/>
  <c r="E14" i="5"/>
  <c r="D14" i="5"/>
  <c r="F8" i="5"/>
  <c r="F22" i="5" s="1"/>
  <c r="E8" i="5"/>
  <c r="E22" i="5" s="1"/>
  <c r="D8" i="5"/>
  <c r="D22" i="5" s="1"/>
  <c r="G21" i="5"/>
  <c r="G15" i="5"/>
  <c r="G9" i="5"/>
  <c r="G23" i="5" s="1"/>
  <c r="G5" i="6" l="1"/>
  <c r="G6" i="6"/>
  <c r="G7" i="6"/>
  <c r="G8" i="6"/>
  <c r="G9" i="6"/>
  <c r="G10" i="6"/>
  <c r="G11" i="6"/>
  <c r="G12" i="6"/>
  <c r="G4" i="6"/>
  <c r="G13" i="6" l="1"/>
</calcChain>
</file>

<file path=xl/sharedStrings.xml><?xml version="1.0" encoding="utf-8"?>
<sst xmlns="http://schemas.openxmlformats.org/spreadsheetml/2006/main" count="285" uniqueCount="210">
  <si>
    <t>지역별 봄꽃 개화시기</t>
  </si>
  <si>
    <t>꽃</t>
  </si>
  <si>
    <t>지역</t>
  </si>
  <si>
    <t>2023년</t>
    <phoneticPr fontId="1" type="noConversion"/>
  </si>
  <si>
    <t>2024년</t>
    <phoneticPr fontId="1" type="noConversion"/>
  </si>
  <si>
    <t>평년차</t>
  </si>
  <si>
    <t>개나리</t>
  </si>
  <si>
    <t>강릉</t>
  </si>
  <si>
    <t>서울</t>
  </si>
  <si>
    <t>여수</t>
  </si>
  <si>
    <t>부산</t>
  </si>
  <si>
    <t>진달래</t>
  </si>
  <si>
    <t>벚꽃</t>
  </si>
  <si>
    <t>정보처리과 성적표</t>
  </si>
  <si>
    <t>학번</t>
  </si>
  <si>
    <t>이름</t>
  </si>
  <si>
    <t>중간</t>
  </si>
  <si>
    <t>기말</t>
  </si>
  <si>
    <t>과제</t>
  </si>
  <si>
    <t>출석</t>
  </si>
  <si>
    <t>합계</t>
  </si>
  <si>
    <t>유일한</t>
  </si>
  <si>
    <t>신영현</t>
  </si>
  <si>
    <t>김서하</t>
  </si>
  <si>
    <t>한지혜</t>
  </si>
  <si>
    <t>최현진</t>
  </si>
  <si>
    <t>김명철</t>
  </si>
  <si>
    <t>김상순</t>
  </si>
  <si>
    <t>이의리</t>
  </si>
  <si>
    <t>조규성</t>
  </si>
  <si>
    <t>조성은</t>
  </si>
  <si>
    <t>황중희</t>
  </si>
  <si>
    <t>김예소</t>
  </si>
  <si>
    <t>송중기</t>
  </si>
  <si>
    <t>신혜선</t>
  </si>
  <si>
    <t>상공여행사 여행 상품</t>
  </si>
  <si>
    <t>상품코드</t>
  </si>
  <si>
    <t>여행지</t>
  </si>
  <si>
    <t>출발일</t>
  </si>
  <si>
    <t>기간</t>
  </si>
  <si>
    <t>출발인원</t>
  </si>
  <si>
    <t>비용</t>
  </si>
  <si>
    <t>pg-153</t>
  </si>
  <si>
    <t>사이판</t>
  </si>
  <si>
    <t>4박5일</t>
  </si>
  <si>
    <t>ba-964</t>
  </si>
  <si>
    <t>발리</t>
  </si>
  <si>
    <t>ds-277</t>
  </si>
  <si>
    <t>다낭</t>
  </si>
  <si>
    <t>3박4일</t>
  </si>
  <si>
    <t>ck-695</t>
  </si>
  <si>
    <t>푸켓</t>
  </si>
  <si>
    <t>tr-184</t>
  </si>
  <si>
    <t>나트랑</t>
  </si>
  <si>
    <t>상공산업 급여지급명세서</t>
  </si>
  <si>
    <t>부서명</t>
  </si>
  <si>
    <t>사원명</t>
  </si>
  <si>
    <t>직위</t>
  </si>
  <si>
    <t>기본급</t>
  </si>
  <si>
    <t>상여금</t>
  </si>
  <si>
    <t>세금</t>
  </si>
  <si>
    <t>총급여</t>
  </si>
  <si>
    <t>생산부</t>
  </si>
  <si>
    <t>이미현</t>
  </si>
  <si>
    <t>부장</t>
  </si>
  <si>
    <t>영업부</t>
  </si>
  <si>
    <t>이선미</t>
  </si>
  <si>
    <t>홍보부</t>
  </si>
  <si>
    <t>박영선</t>
  </si>
  <si>
    <t>고회식</t>
  </si>
  <si>
    <t>과장</t>
  </si>
  <si>
    <t>이종민</t>
  </si>
  <si>
    <t>김태균</t>
  </si>
  <si>
    <t>심영훈</t>
  </si>
  <si>
    <t>대리</t>
  </si>
  <si>
    <t>박해수</t>
  </si>
  <si>
    <t>권지향</t>
  </si>
  <si>
    <t>권수연</t>
  </si>
  <si>
    <t>사원</t>
  </si>
  <si>
    <t>조광희</t>
  </si>
  <si>
    <t>윤정아</t>
  </si>
  <si>
    <t>부서별 해외직구 현황</t>
  </si>
  <si>
    <t>환율 :</t>
  </si>
  <si>
    <t>제품코드</t>
  </si>
  <si>
    <t>제품가(달러)</t>
  </si>
  <si>
    <t>수량</t>
  </si>
  <si>
    <t>배송비(달러)</t>
  </si>
  <si>
    <t>구매금액(원)</t>
  </si>
  <si>
    <t>KBP14</t>
  </si>
  <si>
    <t>CLK66</t>
  </si>
  <si>
    <t>총무부</t>
  </si>
  <si>
    <t>SME92</t>
  </si>
  <si>
    <t>KES20</t>
  </si>
  <si>
    <t>GHI13</t>
  </si>
  <si>
    <t>LSH56</t>
  </si>
  <si>
    <t>BUA84</t>
  </si>
  <si>
    <t>WTP11</t>
  </si>
  <si>
    <t>NVY05</t>
  </si>
  <si>
    <t>총구매금액</t>
  </si>
  <si>
    <t>생산부 최대</t>
  </si>
  <si>
    <t>영업부 최대</t>
  </si>
  <si>
    <t>홍보부 최대</t>
  </si>
  <si>
    <t>전체 최대값</t>
  </si>
  <si>
    <t>생산부 평균</t>
  </si>
  <si>
    <t>영업부 평균</t>
  </si>
  <si>
    <t>홍보부 평균</t>
  </si>
  <si>
    <t>전체 평균</t>
  </si>
  <si>
    <t>환율</t>
  </si>
  <si>
    <t>환율증가</t>
  </si>
  <si>
    <t>환율감소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</si>
  <si>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</si>
  <si>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</si>
  <si>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</si>
  <si>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</si>
  <si>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</si>
  <si>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</si>
  <si>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</si>
  <si>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튼튼병원 전반기 진료 현황</t>
  </si>
  <si>
    <t>진료과</t>
  </si>
  <si>
    <t>1월</t>
  </si>
  <si>
    <t>2월</t>
  </si>
  <si>
    <t>3월</t>
  </si>
  <si>
    <t>4월</t>
  </si>
  <si>
    <t>5월</t>
  </si>
  <si>
    <t>6월</t>
  </si>
  <si>
    <t>평균</t>
  </si>
  <si>
    <t>내과</t>
  </si>
  <si>
    <t>외과</t>
  </si>
  <si>
    <t>신경과</t>
  </si>
  <si>
    <t>흉부외과</t>
  </si>
  <si>
    <t>산부인과</t>
  </si>
  <si>
    <t>전국체전 메달 결과</t>
  </si>
  <si>
    <t>시도</t>
  </si>
  <si>
    <t>금</t>
  </si>
  <si>
    <t>은</t>
  </si>
  <si>
    <t>동</t>
  </si>
  <si>
    <t>경기</t>
  </si>
  <si>
    <t>광주</t>
  </si>
  <si>
    <t>강원</t>
  </si>
  <si>
    <t>[표1]</t>
  </si>
  <si>
    <t>상공컨벤션 예약 현황</t>
    <phoneticPr fontId="1" type="noConversion"/>
  </si>
  <si>
    <t>예약코드</t>
    <phoneticPr fontId="1" type="noConversion"/>
  </si>
  <si>
    <t>구분</t>
    <phoneticPr fontId="1" type="noConversion"/>
  </si>
  <si>
    <t>예약인원</t>
    <phoneticPr fontId="1" type="noConversion"/>
  </si>
  <si>
    <t>할인율</t>
    <phoneticPr fontId="1" type="noConversion"/>
  </si>
  <si>
    <t>1-K-24</t>
    <phoneticPr fontId="1" type="noConversion"/>
  </si>
  <si>
    <t>이벤트</t>
    <phoneticPr fontId="1" type="noConversion"/>
  </si>
  <si>
    <t>3-R-48</t>
    <phoneticPr fontId="1" type="noConversion"/>
  </si>
  <si>
    <t>세미나</t>
    <phoneticPr fontId="1" type="noConversion"/>
  </si>
  <si>
    <t>1-R-72</t>
    <phoneticPr fontId="1" type="noConversion"/>
  </si>
  <si>
    <t>3-K-18</t>
    <phoneticPr fontId="1" type="noConversion"/>
  </si>
  <si>
    <t>1-R-39</t>
    <phoneticPr fontId="1" type="noConversion"/>
  </si>
  <si>
    <t>1-K-88</t>
    <phoneticPr fontId="1" type="noConversion"/>
  </si>
  <si>
    <t>3-K-62</t>
    <phoneticPr fontId="1" type="noConversion"/>
  </si>
  <si>
    <t>기업회의</t>
    <phoneticPr fontId="1" type="noConversion"/>
  </si>
  <si>
    <t>3-R-90</t>
    <phoneticPr fontId="1" type="noConversion"/>
  </si>
  <si>
    <t>1-K-55</t>
    <phoneticPr fontId="1" type="noConversion"/>
  </si>
  <si>
    <t>[표2]</t>
    <phoneticPr fontId="1" type="noConversion"/>
  </si>
  <si>
    <t>지점 판매현황</t>
    <phoneticPr fontId="1" type="noConversion"/>
  </si>
  <si>
    <t>제품명</t>
    <phoneticPr fontId="1" type="noConversion"/>
  </si>
  <si>
    <t>지점</t>
    <phoneticPr fontId="1" type="noConversion"/>
  </si>
  <si>
    <t>판매량</t>
    <phoneticPr fontId="1" type="noConversion"/>
  </si>
  <si>
    <t>판매총액</t>
    <phoneticPr fontId="1" type="noConversion"/>
  </si>
  <si>
    <t>키보드</t>
    <phoneticPr fontId="1" type="noConversion"/>
  </si>
  <si>
    <t>마포</t>
    <phoneticPr fontId="1" type="noConversion"/>
  </si>
  <si>
    <t>용산</t>
    <phoneticPr fontId="1" type="noConversion"/>
  </si>
  <si>
    <t>서초</t>
    <phoneticPr fontId="1" type="noConversion"/>
  </si>
  <si>
    <t>마우스</t>
    <phoneticPr fontId="1" type="noConversion"/>
  </si>
  <si>
    <t>프린터</t>
    <phoneticPr fontId="1" type="noConversion"/>
  </si>
  <si>
    <t>용산점 판매량 비율</t>
    <phoneticPr fontId="1" type="noConversion"/>
  </si>
  <si>
    <t>[표5]</t>
  </si>
  <si>
    <t>심사 결과표</t>
  </si>
  <si>
    <t>참가번호</t>
  </si>
  <si>
    <t>1차</t>
  </si>
  <si>
    <t>2차</t>
  </si>
  <si>
    <t>3차</t>
  </si>
  <si>
    <t>4차</t>
  </si>
  <si>
    <t>5차</t>
  </si>
  <si>
    <t>A12301</t>
  </si>
  <si>
    <t>A12302</t>
  </si>
  <si>
    <t>A12303</t>
  </si>
  <si>
    <t>A12304</t>
  </si>
  <si>
    <t>A12305</t>
  </si>
  <si>
    <t>A12306</t>
  </si>
  <si>
    <t>A12307</t>
  </si>
  <si>
    <t>A12308</t>
  </si>
  <si>
    <t>A12309</t>
  </si>
  <si>
    <t>하프마라톤 결과</t>
  </si>
  <si>
    <t>선수번호</t>
  </si>
  <si>
    <t>소속</t>
  </si>
  <si>
    <t>나이</t>
  </si>
  <si>
    <t>기록</t>
  </si>
  <si>
    <t>춘천</t>
  </si>
  <si>
    <t>영월</t>
  </si>
  <si>
    <t>평창</t>
  </si>
  <si>
    <t>고성</t>
  </si>
  <si>
    <t>가장 빠른 기록</t>
  </si>
  <si>
    <t>[표3]</t>
    <phoneticPr fontId="1" type="noConversion"/>
  </si>
  <si>
    <t>분식 주문 현황</t>
  </si>
  <si>
    <t>번호</t>
  </si>
  <si>
    <t>메뉴</t>
  </si>
  <si>
    <t>금액</t>
  </si>
  <si>
    <t>&lt;메뉴 가격표&gt;</t>
  </si>
  <si>
    <t>라면</t>
  </si>
  <si>
    <t>김밥</t>
  </si>
  <si>
    <t>떡볶이</t>
  </si>
  <si>
    <t>돈까스</t>
  </si>
  <si>
    <t>가격</t>
  </si>
  <si>
    <t>튀김</t>
  </si>
  <si>
    <t>[표4]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</si>
</sst>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&quot;*&quot;0&quot;일&quot;"/>
  </numFmts>
  <fonts count="1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 applyAlignment="1">
      <alignment horizontal="centerContinuous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6" fillId="0" borderId="0" xfId="0" applyFont="1" applyAlignment="1">
      <alignment horizontal="right" vertical="center"/>
    </xf>
    <xf numFmtId="41" fontId="6" fillId="0" borderId="0" xfId="1" applyFo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11" xfId="0" applyNumberFormat="1" applyFill="1" applyBorder="1" applyAlignment="1">
      <alignment vertical="center"/>
    </xf>
    <xf numFmtId="0" fontId="8" fillId="2" borderId="12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0" fillId="0" borderId="13" xfId="0" applyFill="1" applyBorder="1" applyAlignment="1">
      <alignment vertical="center"/>
    </xf>
    <xf numFmtId="0" fontId="9" fillId="3" borderId="0" xfId="0" applyFont="1" applyFill="1" applyBorder="1" applyAlignment="1">
      <alignment horizontal="left" vertical="center"/>
    </xf>
    <xf numFmtId="0" fontId="10" fillId="3" borderId="13" xfId="0" applyFont="1" applyFill="1" applyBorder="1" applyAlignment="1">
      <alignment horizontal="left" vertical="center"/>
    </xf>
    <xf numFmtId="0" fontId="11" fillId="3" borderId="13" xfId="0" applyFont="1" applyFill="1" applyBorder="1" applyAlignment="1">
      <alignment horizontal="left" vertical="center"/>
    </xf>
    <xf numFmtId="0" fontId="9" fillId="3" borderId="11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right" vertical="center"/>
    </xf>
    <xf numFmtId="0" fontId="7" fillId="2" borderId="12" xfId="0" applyFont="1" applyFill="1" applyBorder="1" applyAlignment="1">
      <alignment horizontal="right" vertical="center"/>
    </xf>
    <xf numFmtId="41" fontId="0" fillId="4" borderId="0" xfId="0" applyNumberFormat="1" applyFill="1" applyBorder="1" applyAlignment="1">
      <alignment vertical="center"/>
    </xf>
    <xf numFmtId="0" fontId="12" fillId="0" borderId="0" xfId="0" applyFont="1" applyFill="1" applyBorder="1" applyAlignment="1">
      <alignment vertical="top" wrapText="1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6" fillId="0" borderId="0" xfId="0" applyFont="1">
      <alignment vertical="center"/>
    </xf>
    <xf numFmtId="0" fontId="0" fillId="6" borderId="1" xfId="0" applyFill="1" applyBorder="1" applyAlignment="1">
      <alignment horizontal="center" vertical="center"/>
    </xf>
    <xf numFmtId="0" fontId="12" fillId="0" borderId="0" xfId="3" applyFont="1">
      <alignment vertical="center"/>
    </xf>
    <xf numFmtId="0" fontId="18" fillId="0" borderId="0" xfId="3" applyFont="1">
      <alignment vertical="center"/>
    </xf>
    <xf numFmtId="0" fontId="2" fillId="0" borderId="0" xfId="4">
      <alignment vertical="center"/>
    </xf>
    <xf numFmtId="0" fontId="17" fillId="0" borderId="0" xfId="3">
      <alignment vertical="center"/>
    </xf>
    <xf numFmtId="0" fontId="2" fillId="0" borderId="1" xfId="4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41" fontId="0" fillId="0" borderId="1" xfId="5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6" borderId="14" xfId="4" applyFill="1" applyBorder="1" applyAlignment="1">
      <alignment horizontal="center" vertical="center"/>
    </xf>
    <xf numFmtId="0" fontId="2" fillId="6" borderId="13" xfId="4" applyFill="1" applyBorder="1" applyAlignment="1">
      <alignment horizontal="center" vertical="center"/>
    </xf>
    <xf numFmtId="0" fontId="2" fillId="6" borderId="15" xfId="4" applyFill="1" applyBorder="1" applyAlignment="1">
      <alignment horizontal="center" vertical="center"/>
    </xf>
  </cellXfs>
  <cellStyles count="6">
    <cellStyle name="백분율" xfId="2" builtinId="5"/>
    <cellStyle name="쉼표 [0]" xfId="1" builtinId="6"/>
    <cellStyle name="쉼표 [0] 8" xfId="5" xr:uid="{74E31A33-B09A-4CEA-A640-61AC4876965E}"/>
    <cellStyle name="표준" xfId="0" builtinId="0"/>
    <cellStyle name="표준 2 2" xfId="3" xr:uid="{5B76A24F-D27B-4499-897E-024A99C18906}"/>
    <cellStyle name="표준 9" xfId="4" xr:uid="{B447AC3A-7451-428C-BD67-9E45042BDC2B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전국체전 메달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3"/>
          <c:order val="0"/>
          <c:tx>
            <c:strRef>
              <c:f>차트작업!$F$3</c:f>
              <c:strCache>
                <c:ptCount val="1"/>
                <c:pt idx="0">
                  <c:v>합계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F902-480B-A4EE-5B3B67FAF2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F902-480B-A4EE-5B3B67FAF22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F902-480B-A4EE-5B3B67FAF22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F902-480B-A4EE-5B3B67FAF22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F902-480B-A4EE-5B3B67FAF2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차트작업!$F$4:$F$8</c:f>
              <c:numCache>
                <c:formatCode>General</c:formatCode>
                <c:ptCount val="5"/>
                <c:pt idx="0">
                  <c:v>330</c:v>
                </c:pt>
                <c:pt idx="1">
                  <c:v>425</c:v>
                </c:pt>
                <c:pt idx="2">
                  <c:v>187</c:v>
                </c:pt>
                <c:pt idx="3">
                  <c:v>149</c:v>
                </c:pt>
                <c:pt idx="4">
                  <c:v>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71-4850-B99F-4E54551D4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/>
    </a:solidFill>
    <a:ln w="12700" cap="flat" cmpd="sng" algn="ctr">
      <a:solidFill>
        <a:schemeClr val="accent6">
          <a:shade val="50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3</xdr:col>
      <xdr:colOff>0</xdr:colOff>
      <xdr:row>11</xdr:row>
      <xdr:rowOff>0</xdr:rowOff>
    </xdr:to>
    <xdr:sp macro="[0]!평균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60400" y="1993900"/>
          <a:ext cx="10795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2E1D-9F39-441D-8C88-0C09943F99FA}">
  <dimension ref="A1:F8"/>
  <sheetViews>
    <sheetView tabSelected="1" workbookViewId="0"/>
  </sheetViews>
  <sheetFormatPr defaultRowHeight="17" x14ac:dyDescent="0.45"/>
  <cols>
    <col min="3" max="3" width="10.75" bestFit="1" customWidth="1"/>
    <col min="6" max="6" width="9.08203125" bestFit="1" customWidth="1"/>
  </cols>
  <sheetData>
    <row r="1" spans="1:6" x14ac:dyDescent="0.45">
      <c r="A1" t="s">
        <v>35</v>
      </c>
    </row>
    <row r="3" spans="1:6" x14ac:dyDescent="0.45">
      <c r="A3" s="1" t="s">
        <v>36</v>
      </c>
      <c r="B3" s="1" t="s">
        <v>37</v>
      </c>
      <c r="C3" s="1" t="s">
        <v>38</v>
      </c>
      <c r="D3" s="1" t="s">
        <v>39</v>
      </c>
      <c r="E3" s="1" t="s">
        <v>40</v>
      </c>
      <c r="F3" s="1" t="s">
        <v>41</v>
      </c>
    </row>
    <row r="4" spans="1:6" x14ac:dyDescent="0.45">
      <c r="A4" s="1" t="s">
        <v>42</v>
      </c>
      <c r="B4" s="1" t="s">
        <v>43</v>
      </c>
      <c r="C4" s="13">
        <v>45726</v>
      </c>
      <c r="D4" s="1" t="s">
        <v>44</v>
      </c>
      <c r="E4" s="1">
        <v>36</v>
      </c>
      <c r="F4" s="2">
        <v>780000</v>
      </c>
    </row>
    <row r="5" spans="1:6" x14ac:dyDescent="0.45">
      <c r="A5" s="1" t="s">
        <v>45</v>
      </c>
      <c r="B5" s="1" t="s">
        <v>46</v>
      </c>
      <c r="C5" s="13">
        <v>45730</v>
      </c>
      <c r="D5" s="1" t="s">
        <v>44</v>
      </c>
      <c r="E5" s="1">
        <v>42</v>
      </c>
      <c r="F5" s="2">
        <v>960000</v>
      </c>
    </row>
    <row r="6" spans="1:6" x14ac:dyDescent="0.45">
      <c r="A6" s="1" t="s">
        <v>47</v>
      </c>
      <c r="B6" s="1" t="s">
        <v>48</v>
      </c>
      <c r="C6" s="13">
        <v>45731</v>
      </c>
      <c r="D6" s="1" t="s">
        <v>49</v>
      </c>
      <c r="E6" s="1">
        <v>30</v>
      </c>
      <c r="F6" s="2">
        <v>550000</v>
      </c>
    </row>
    <row r="7" spans="1:6" x14ac:dyDescent="0.45">
      <c r="A7" s="1" t="s">
        <v>50</v>
      </c>
      <c r="B7" s="1" t="s">
        <v>51</v>
      </c>
      <c r="C7" s="13">
        <v>45733</v>
      </c>
      <c r="D7" s="1" t="s">
        <v>49</v>
      </c>
      <c r="E7" s="1">
        <v>32</v>
      </c>
      <c r="F7" s="2">
        <v>830000</v>
      </c>
    </row>
    <row r="8" spans="1:6" x14ac:dyDescent="0.45">
      <c r="A8" s="1" t="s">
        <v>52</v>
      </c>
      <c r="B8" s="1" t="s">
        <v>53</v>
      </c>
      <c r="C8" s="13">
        <v>45737</v>
      </c>
      <c r="D8" s="1" t="s">
        <v>49</v>
      </c>
      <c r="E8" s="1">
        <v>40</v>
      </c>
      <c r="F8" s="2">
        <v>670000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D3B69-597A-4880-851C-15C8A1B78BA2}">
  <dimension ref="A1:E15"/>
  <sheetViews>
    <sheetView workbookViewId="0"/>
  </sheetViews>
  <sheetFormatPr defaultRowHeight="17" x14ac:dyDescent="0.45"/>
  <cols>
    <col min="3" max="4" width="11.08203125" customWidth="1"/>
  </cols>
  <sheetData>
    <row r="1" spans="1:5" ht="25.5" x14ac:dyDescent="0.45">
      <c r="A1" s="3" t="s">
        <v>0</v>
      </c>
      <c r="B1" s="3"/>
      <c r="C1" s="3"/>
      <c r="D1" s="3"/>
      <c r="E1" s="3"/>
    </row>
    <row r="2" spans="1:5" ht="17.5" thickBot="1" x14ac:dyDescent="0.5"/>
    <row r="3" spans="1:5" x14ac:dyDescent="0.45">
      <c r="A3" s="6" t="s">
        <v>1</v>
      </c>
      <c r="B3" s="7" t="s">
        <v>2</v>
      </c>
      <c r="C3" s="7" t="s">
        <v>3</v>
      </c>
      <c r="D3" s="7" t="s">
        <v>4</v>
      </c>
      <c r="E3" s="8" t="s">
        <v>5</v>
      </c>
    </row>
    <row r="4" spans="1:5" x14ac:dyDescent="0.45">
      <c r="A4" s="51" t="s">
        <v>6</v>
      </c>
      <c r="B4" s="4" t="s">
        <v>7</v>
      </c>
      <c r="C4" s="5">
        <v>45006</v>
      </c>
      <c r="D4" s="5">
        <v>45376</v>
      </c>
      <c r="E4" s="9">
        <v>4</v>
      </c>
    </row>
    <row r="5" spans="1:5" x14ac:dyDescent="0.45">
      <c r="A5" s="51"/>
      <c r="B5" s="4" t="s">
        <v>8</v>
      </c>
      <c r="C5" s="5">
        <v>45010</v>
      </c>
      <c r="D5" s="5">
        <v>45379</v>
      </c>
      <c r="E5" s="9">
        <v>3</v>
      </c>
    </row>
    <row r="6" spans="1:5" x14ac:dyDescent="0.45">
      <c r="A6" s="51"/>
      <c r="B6" s="4" t="s">
        <v>9</v>
      </c>
      <c r="C6" s="5">
        <v>45005</v>
      </c>
      <c r="D6" s="5">
        <v>45374</v>
      </c>
      <c r="E6" s="9">
        <v>3</v>
      </c>
    </row>
    <row r="7" spans="1:5" x14ac:dyDescent="0.45">
      <c r="A7" s="51"/>
      <c r="B7" s="4" t="s">
        <v>10</v>
      </c>
      <c r="C7" s="5">
        <v>45001</v>
      </c>
      <c r="D7" s="5">
        <v>45368</v>
      </c>
      <c r="E7" s="9">
        <v>1</v>
      </c>
    </row>
    <row r="8" spans="1:5" x14ac:dyDescent="0.45">
      <c r="A8" s="51" t="s">
        <v>11</v>
      </c>
      <c r="B8" s="4" t="s">
        <v>7</v>
      </c>
      <c r="C8" s="5">
        <v>45008</v>
      </c>
      <c r="D8" s="5">
        <v>45379</v>
      </c>
      <c r="E8" s="9">
        <v>5</v>
      </c>
    </row>
    <row r="9" spans="1:5" x14ac:dyDescent="0.45">
      <c r="A9" s="51"/>
      <c r="B9" s="4" t="s">
        <v>8</v>
      </c>
      <c r="C9" s="5">
        <v>45008</v>
      </c>
      <c r="D9" s="5">
        <v>45380</v>
      </c>
      <c r="E9" s="9">
        <v>6</v>
      </c>
    </row>
    <row r="10" spans="1:5" x14ac:dyDescent="0.45">
      <c r="A10" s="51"/>
      <c r="B10" s="4" t="s">
        <v>9</v>
      </c>
      <c r="C10" s="5">
        <v>45001</v>
      </c>
      <c r="D10" s="5">
        <v>45371</v>
      </c>
      <c r="E10" s="9">
        <v>4</v>
      </c>
    </row>
    <row r="11" spans="1:5" x14ac:dyDescent="0.45">
      <c r="A11" s="51"/>
      <c r="B11" s="4" t="s">
        <v>10</v>
      </c>
      <c r="C11" s="5">
        <v>45003</v>
      </c>
      <c r="D11" s="5">
        <v>45370</v>
      </c>
      <c r="E11" s="9">
        <v>1</v>
      </c>
    </row>
    <row r="12" spans="1:5" x14ac:dyDescent="0.45">
      <c r="A12" s="51" t="s">
        <v>12</v>
      </c>
      <c r="B12" s="4" t="s">
        <v>7</v>
      </c>
      <c r="C12" s="5">
        <v>45016</v>
      </c>
      <c r="D12" s="5">
        <v>45386</v>
      </c>
      <c r="E12" s="9">
        <v>4</v>
      </c>
    </row>
    <row r="13" spans="1:5" x14ac:dyDescent="0.45">
      <c r="A13" s="51"/>
      <c r="B13" s="4" t="s">
        <v>8</v>
      </c>
      <c r="C13" s="5">
        <v>45019</v>
      </c>
      <c r="D13" s="5">
        <v>45390</v>
      </c>
      <c r="E13" s="9">
        <v>5</v>
      </c>
    </row>
    <row r="14" spans="1:5" x14ac:dyDescent="0.45">
      <c r="A14" s="51"/>
      <c r="B14" s="4" t="s">
        <v>9</v>
      </c>
      <c r="C14" s="5">
        <v>45014</v>
      </c>
      <c r="D14" s="5">
        <v>45382</v>
      </c>
      <c r="E14" s="9">
        <v>2</v>
      </c>
    </row>
    <row r="15" spans="1:5" ht="17.5" thickBot="1" x14ac:dyDescent="0.5">
      <c r="A15" s="52"/>
      <c r="B15" s="10" t="s">
        <v>10</v>
      </c>
      <c r="C15" s="11">
        <v>45007</v>
      </c>
      <c r="D15" s="11">
        <v>45375</v>
      </c>
      <c r="E15" s="12">
        <v>2</v>
      </c>
    </row>
  </sheetData>
  <mergeCells count="3">
    <mergeCell ref="A12:A15"/>
    <mergeCell ref="A8:A11"/>
    <mergeCell ref="A4:A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E921-70C5-4DBF-B5F8-C81DB3097C73}">
  <dimension ref="A1:G17"/>
  <sheetViews>
    <sheetView workbookViewId="0">
      <selection sqref="A1:G1"/>
    </sheetView>
  </sheetViews>
  <sheetFormatPr defaultRowHeight="17" x14ac:dyDescent="0.45"/>
  <sheetData>
    <row r="1" spans="1:7" ht="21" x14ac:dyDescent="0.45">
      <c r="A1" s="53" t="s">
        <v>13</v>
      </c>
      <c r="B1" s="53"/>
      <c r="C1" s="53"/>
      <c r="D1" s="53"/>
      <c r="E1" s="53"/>
      <c r="F1" s="53"/>
      <c r="G1" s="53"/>
    </row>
    <row r="3" spans="1:7" x14ac:dyDescent="0.45">
      <c r="A3" s="4" t="s">
        <v>14</v>
      </c>
      <c r="B3" s="4" t="s">
        <v>15</v>
      </c>
      <c r="C3" s="4" t="s">
        <v>16</v>
      </c>
      <c r="D3" s="4" t="s">
        <v>17</v>
      </c>
      <c r="E3" s="4" t="s">
        <v>18</v>
      </c>
      <c r="F3" s="4" t="s">
        <v>19</v>
      </c>
      <c r="G3" s="4" t="s">
        <v>20</v>
      </c>
    </row>
    <row r="4" spans="1:7" x14ac:dyDescent="0.45">
      <c r="A4" s="4">
        <v>2102463</v>
      </c>
      <c r="B4" s="4" t="s">
        <v>21</v>
      </c>
      <c r="C4" s="4">
        <v>32</v>
      </c>
      <c r="D4" s="4">
        <v>33</v>
      </c>
      <c r="E4" s="4">
        <v>16</v>
      </c>
      <c r="F4" s="4">
        <v>9</v>
      </c>
      <c r="G4" s="4">
        <v>90</v>
      </c>
    </row>
    <row r="5" spans="1:7" x14ac:dyDescent="0.45">
      <c r="A5" s="4">
        <v>2105407</v>
      </c>
      <c r="B5" s="4" t="s">
        <v>22</v>
      </c>
      <c r="C5" s="4">
        <v>30</v>
      </c>
      <c r="D5" s="4">
        <v>28</v>
      </c>
      <c r="E5" s="4">
        <v>13</v>
      </c>
      <c r="F5" s="4">
        <v>10</v>
      </c>
      <c r="G5" s="4">
        <v>81</v>
      </c>
    </row>
    <row r="6" spans="1:7" x14ac:dyDescent="0.45">
      <c r="A6" s="4">
        <v>2103159</v>
      </c>
      <c r="B6" s="4" t="s">
        <v>23</v>
      </c>
      <c r="C6" s="4">
        <v>27</v>
      </c>
      <c r="D6" s="4">
        <v>26</v>
      </c>
      <c r="E6" s="4">
        <v>15</v>
      </c>
      <c r="F6" s="4">
        <v>8</v>
      </c>
      <c r="G6" s="4">
        <v>76</v>
      </c>
    </row>
    <row r="7" spans="1:7" x14ac:dyDescent="0.45">
      <c r="A7" s="4">
        <v>2102058</v>
      </c>
      <c r="B7" s="4" t="s">
        <v>24</v>
      </c>
      <c r="C7" s="4">
        <v>32</v>
      </c>
      <c r="D7" s="4">
        <v>35</v>
      </c>
      <c r="E7" s="4">
        <v>18</v>
      </c>
      <c r="F7" s="4">
        <v>10</v>
      </c>
      <c r="G7" s="4">
        <v>95</v>
      </c>
    </row>
    <row r="8" spans="1:7" x14ac:dyDescent="0.45">
      <c r="A8" s="4">
        <v>2108673</v>
      </c>
      <c r="B8" s="4" t="s">
        <v>25</v>
      </c>
      <c r="C8" s="4">
        <v>25</v>
      </c>
      <c r="D8" s="4">
        <v>21</v>
      </c>
      <c r="E8" s="4">
        <v>12</v>
      </c>
      <c r="F8" s="4">
        <v>7</v>
      </c>
      <c r="G8" s="4">
        <v>65</v>
      </c>
    </row>
    <row r="9" spans="1:7" x14ac:dyDescent="0.45">
      <c r="A9" s="4">
        <v>2103042</v>
      </c>
      <c r="B9" s="4" t="s">
        <v>26</v>
      </c>
      <c r="C9" s="4">
        <v>33</v>
      </c>
      <c r="D9" s="4">
        <v>33</v>
      </c>
      <c r="E9" s="4">
        <v>17</v>
      </c>
      <c r="F9" s="4">
        <v>10</v>
      </c>
      <c r="G9" s="4">
        <v>93</v>
      </c>
    </row>
    <row r="10" spans="1:7" x14ac:dyDescent="0.45">
      <c r="A10" s="4">
        <v>2102996</v>
      </c>
      <c r="B10" s="4" t="s">
        <v>27</v>
      </c>
      <c r="C10" s="4">
        <v>28</v>
      </c>
      <c r="D10" s="4">
        <v>29</v>
      </c>
      <c r="E10" s="4">
        <v>14</v>
      </c>
      <c r="F10" s="4">
        <v>9</v>
      </c>
      <c r="G10" s="4">
        <v>80</v>
      </c>
    </row>
    <row r="11" spans="1:7" x14ac:dyDescent="0.45">
      <c r="A11" s="4">
        <v>2104871</v>
      </c>
      <c r="B11" s="4" t="s">
        <v>28</v>
      </c>
      <c r="C11" s="4">
        <v>26</v>
      </c>
      <c r="D11" s="4">
        <v>30</v>
      </c>
      <c r="E11" s="4">
        <v>15</v>
      </c>
      <c r="F11" s="4">
        <v>8</v>
      </c>
      <c r="G11" s="4">
        <v>79</v>
      </c>
    </row>
    <row r="12" spans="1:7" x14ac:dyDescent="0.45">
      <c r="A12" s="4">
        <v>2107570</v>
      </c>
      <c r="B12" s="4" t="s">
        <v>29</v>
      </c>
      <c r="C12" s="4">
        <v>35</v>
      </c>
      <c r="D12" s="4">
        <v>34</v>
      </c>
      <c r="E12" s="4">
        <v>19</v>
      </c>
      <c r="F12" s="4">
        <v>10</v>
      </c>
      <c r="G12" s="4">
        <v>98</v>
      </c>
    </row>
    <row r="13" spans="1:7" x14ac:dyDescent="0.45">
      <c r="A13" s="4">
        <v>2102918</v>
      </c>
      <c r="B13" s="4" t="s">
        <v>30</v>
      </c>
      <c r="C13" s="4">
        <v>34</v>
      </c>
      <c r="D13" s="4">
        <v>33</v>
      </c>
      <c r="E13" s="4">
        <v>20</v>
      </c>
      <c r="F13" s="4">
        <v>10</v>
      </c>
      <c r="G13" s="4">
        <v>97</v>
      </c>
    </row>
    <row r="14" spans="1:7" x14ac:dyDescent="0.45">
      <c r="A14" s="4">
        <v>2107164</v>
      </c>
      <c r="B14" s="4" t="s">
        <v>31</v>
      </c>
      <c r="C14" s="4">
        <v>30</v>
      </c>
      <c r="D14" s="4">
        <v>31</v>
      </c>
      <c r="E14" s="4">
        <v>16</v>
      </c>
      <c r="F14" s="4">
        <v>9</v>
      </c>
      <c r="G14" s="4">
        <v>86</v>
      </c>
    </row>
    <row r="15" spans="1:7" x14ac:dyDescent="0.45">
      <c r="A15" s="4">
        <v>2105060</v>
      </c>
      <c r="B15" s="4" t="s">
        <v>32</v>
      </c>
      <c r="C15" s="4">
        <v>29</v>
      </c>
      <c r="D15" s="4">
        <v>26</v>
      </c>
      <c r="E15" s="4">
        <v>15</v>
      </c>
      <c r="F15" s="4">
        <v>10</v>
      </c>
      <c r="G15" s="4">
        <v>80</v>
      </c>
    </row>
    <row r="16" spans="1:7" x14ac:dyDescent="0.45">
      <c r="A16" s="4">
        <v>2106865</v>
      </c>
      <c r="B16" s="4" t="s">
        <v>33</v>
      </c>
      <c r="C16" s="4">
        <v>31</v>
      </c>
      <c r="D16" s="4">
        <v>32</v>
      </c>
      <c r="E16" s="4">
        <v>17</v>
      </c>
      <c r="F16" s="4">
        <v>10</v>
      </c>
      <c r="G16" s="4">
        <v>90</v>
      </c>
    </row>
    <row r="17" spans="1:7" x14ac:dyDescent="0.45">
      <c r="A17" s="4">
        <v>2103671</v>
      </c>
      <c r="B17" s="4" t="s">
        <v>34</v>
      </c>
      <c r="C17" s="4">
        <v>33</v>
      </c>
      <c r="D17" s="4">
        <v>29</v>
      </c>
      <c r="E17" s="4">
        <v>13</v>
      </c>
      <c r="F17" s="4">
        <v>8</v>
      </c>
      <c r="G17" s="4">
        <v>83</v>
      </c>
    </row>
  </sheetData>
  <mergeCells count="1">
    <mergeCell ref="A1:G1"/>
  </mergeCells>
  <phoneticPr fontId="1" type="noConversion"/>
  <conditionalFormatting sqref="A4:G17">
    <cfRule type="expression" dxfId="0" priority="1">
      <formula>LEFT($B4,1)="김"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L36"/>
  <sheetViews>
    <sheetView workbookViewId="0"/>
  </sheetViews>
  <sheetFormatPr defaultRowHeight="17" x14ac:dyDescent="0.45"/>
  <cols>
    <col min="4" max="4" width="10" bestFit="1" customWidth="1"/>
    <col min="9" max="9" width="10.58203125" bestFit="1" customWidth="1"/>
  </cols>
  <sheetData>
    <row r="1" spans="1:12" x14ac:dyDescent="0.45">
      <c r="A1" s="39" t="s">
        <v>139</v>
      </c>
      <c r="B1" s="40" t="s">
        <v>140</v>
      </c>
      <c r="F1" s="39" t="s">
        <v>157</v>
      </c>
      <c r="G1" s="40" t="s">
        <v>171</v>
      </c>
    </row>
    <row r="2" spans="1:12" x14ac:dyDescent="0.45">
      <c r="A2" s="4" t="s">
        <v>141</v>
      </c>
      <c r="B2" s="4" t="s">
        <v>142</v>
      </c>
      <c r="C2" s="4" t="s">
        <v>143</v>
      </c>
      <c r="D2" s="41" t="s">
        <v>144</v>
      </c>
      <c r="F2" s="4" t="s">
        <v>172</v>
      </c>
      <c r="G2" s="4" t="s">
        <v>173</v>
      </c>
      <c r="H2" s="4" t="s">
        <v>174</v>
      </c>
      <c r="I2" s="4" t="s">
        <v>175</v>
      </c>
      <c r="J2" s="4" t="s">
        <v>176</v>
      </c>
      <c r="K2" s="4" t="s">
        <v>177</v>
      </c>
      <c r="L2" s="41" t="s">
        <v>125</v>
      </c>
    </row>
    <row r="3" spans="1:12" x14ac:dyDescent="0.45">
      <c r="A3" s="4" t="s">
        <v>145</v>
      </c>
      <c r="B3" s="4" t="s">
        <v>146</v>
      </c>
      <c r="C3" s="4">
        <v>120</v>
      </c>
      <c r="D3" s="4" t="str">
        <f>IF(AND(MID(A3,3,1)="R",B3="세미나"),"30%","15%")</f>
        <v>15%</v>
      </c>
      <c r="F3" s="4" t="s">
        <v>178</v>
      </c>
      <c r="G3" s="4">
        <v>86</v>
      </c>
      <c r="H3" s="4">
        <v>88</v>
      </c>
      <c r="I3" s="4">
        <v>92</v>
      </c>
      <c r="J3" s="4">
        <v>86</v>
      </c>
      <c r="K3" s="4">
        <v>90</v>
      </c>
      <c r="L3" s="4">
        <f>AVERAGEIF(G3:K3,"&gt;"&amp;MEDIAN(G3:K3),G3:K3)</f>
        <v>91</v>
      </c>
    </row>
    <row r="4" spans="1:12" x14ac:dyDescent="0.45">
      <c r="A4" s="4" t="s">
        <v>147</v>
      </c>
      <c r="B4" s="4" t="s">
        <v>148</v>
      </c>
      <c r="C4" s="4">
        <v>100</v>
      </c>
      <c r="D4" s="4" t="str">
        <f t="shared" ref="D4:D11" si="0">IF(AND(MID(A4,3,1)="R",B4="세미나"),"30%","15%")</f>
        <v>30%</v>
      </c>
      <c r="F4" s="4" t="s">
        <v>179</v>
      </c>
      <c r="G4" s="4">
        <v>92</v>
      </c>
      <c r="H4" s="4">
        <v>93</v>
      </c>
      <c r="I4" s="4">
        <v>94</v>
      </c>
      <c r="J4" s="4">
        <v>93</v>
      </c>
      <c r="K4" s="4">
        <v>94</v>
      </c>
      <c r="L4" s="4">
        <f t="shared" ref="L4:L11" si="1">AVERAGEIF(G4:K4,"&gt;"&amp;MEDIAN(G4:K4),G4:K4)</f>
        <v>94</v>
      </c>
    </row>
    <row r="5" spans="1:12" x14ac:dyDescent="0.45">
      <c r="A5" s="4" t="s">
        <v>149</v>
      </c>
      <c r="B5" s="4" t="s">
        <v>146</v>
      </c>
      <c r="C5" s="4">
        <v>150</v>
      </c>
      <c r="D5" s="4" t="str">
        <f t="shared" si="0"/>
        <v>15%</v>
      </c>
      <c r="F5" s="4" t="s">
        <v>180</v>
      </c>
      <c r="G5" s="4">
        <v>94</v>
      </c>
      <c r="H5" s="4">
        <v>84</v>
      </c>
      <c r="I5" s="4">
        <v>88</v>
      </c>
      <c r="J5" s="4">
        <v>92</v>
      </c>
      <c r="K5" s="4">
        <v>90</v>
      </c>
      <c r="L5" s="4">
        <f t="shared" si="1"/>
        <v>93</v>
      </c>
    </row>
    <row r="6" spans="1:12" x14ac:dyDescent="0.45">
      <c r="A6" s="4" t="s">
        <v>150</v>
      </c>
      <c r="B6" s="4" t="s">
        <v>146</v>
      </c>
      <c r="C6" s="4">
        <v>180</v>
      </c>
      <c r="D6" s="4" t="str">
        <f t="shared" si="0"/>
        <v>15%</v>
      </c>
      <c r="F6" s="4" t="s">
        <v>181</v>
      </c>
      <c r="G6" s="4">
        <v>79</v>
      </c>
      <c r="H6" s="4">
        <v>84</v>
      </c>
      <c r="I6" s="4">
        <v>87</v>
      </c>
      <c r="J6" s="4">
        <v>83</v>
      </c>
      <c r="K6" s="4">
        <v>85</v>
      </c>
      <c r="L6" s="4">
        <f t="shared" si="1"/>
        <v>86</v>
      </c>
    </row>
    <row r="7" spans="1:12" x14ac:dyDescent="0.45">
      <c r="A7" s="4" t="s">
        <v>151</v>
      </c>
      <c r="B7" s="4" t="s">
        <v>148</v>
      </c>
      <c r="C7" s="4">
        <v>130</v>
      </c>
      <c r="D7" s="4" t="str">
        <f t="shared" si="0"/>
        <v>30%</v>
      </c>
      <c r="F7" s="4" t="s">
        <v>182</v>
      </c>
      <c r="G7" s="4">
        <v>82</v>
      </c>
      <c r="H7" s="4">
        <v>72</v>
      </c>
      <c r="I7" s="4">
        <v>75</v>
      </c>
      <c r="J7" s="4">
        <v>80</v>
      </c>
      <c r="K7" s="4">
        <v>76</v>
      </c>
      <c r="L7" s="4">
        <f t="shared" si="1"/>
        <v>81</v>
      </c>
    </row>
    <row r="8" spans="1:12" x14ac:dyDescent="0.45">
      <c r="A8" s="4" t="s">
        <v>152</v>
      </c>
      <c r="B8" s="4" t="s">
        <v>148</v>
      </c>
      <c r="C8" s="4">
        <v>120</v>
      </c>
      <c r="D8" s="4" t="str">
        <f t="shared" si="0"/>
        <v>15%</v>
      </c>
      <c r="F8" s="4" t="s">
        <v>183</v>
      </c>
      <c r="G8" s="4">
        <v>69</v>
      </c>
      <c r="H8" s="4">
        <v>68</v>
      </c>
      <c r="I8" s="4">
        <v>69</v>
      </c>
      <c r="J8" s="4">
        <v>65</v>
      </c>
      <c r="K8" s="4">
        <v>60</v>
      </c>
      <c r="L8" s="4">
        <f t="shared" si="1"/>
        <v>69</v>
      </c>
    </row>
    <row r="9" spans="1:12" x14ac:dyDescent="0.45">
      <c r="A9" s="4" t="s">
        <v>153</v>
      </c>
      <c r="B9" s="4" t="s">
        <v>154</v>
      </c>
      <c r="C9" s="4">
        <v>160</v>
      </c>
      <c r="D9" s="4" t="str">
        <f t="shared" si="0"/>
        <v>15%</v>
      </c>
      <c r="F9" s="4" t="s">
        <v>184</v>
      </c>
      <c r="G9" s="4">
        <v>77</v>
      </c>
      <c r="H9" s="4">
        <v>82</v>
      </c>
      <c r="I9" s="4">
        <v>71</v>
      </c>
      <c r="J9" s="4">
        <v>80</v>
      </c>
      <c r="K9" s="4">
        <v>75</v>
      </c>
      <c r="L9" s="4">
        <f t="shared" si="1"/>
        <v>81</v>
      </c>
    </row>
    <row r="10" spans="1:12" x14ac:dyDescent="0.45">
      <c r="A10" s="4" t="s">
        <v>155</v>
      </c>
      <c r="B10" s="4" t="s">
        <v>154</v>
      </c>
      <c r="C10" s="4">
        <v>150</v>
      </c>
      <c r="D10" s="4" t="str">
        <f t="shared" si="0"/>
        <v>15%</v>
      </c>
      <c r="F10" s="4" t="s">
        <v>185</v>
      </c>
      <c r="G10" s="4">
        <v>82</v>
      </c>
      <c r="H10" s="4">
        <v>84</v>
      </c>
      <c r="I10" s="4">
        <v>86</v>
      </c>
      <c r="J10" s="4">
        <v>90</v>
      </c>
      <c r="K10" s="4">
        <v>84</v>
      </c>
      <c r="L10" s="4">
        <f t="shared" si="1"/>
        <v>88</v>
      </c>
    </row>
    <row r="11" spans="1:12" x14ac:dyDescent="0.45">
      <c r="A11" s="4" t="s">
        <v>156</v>
      </c>
      <c r="B11" s="4" t="s">
        <v>148</v>
      </c>
      <c r="C11" s="4">
        <v>180</v>
      </c>
      <c r="D11" s="4" t="str">
        <f t="shared" si="0"/>
        <v>15%</v>
      </c>
      <c r="F11" s="4" t="s">
        <v>186</v>
      </c>
      <c r="G11" s="4">
        <v>93</v>
      </c>
      <c r="H11" s="4">
        <v>91</v>
      </c>
      <c r="I11" s="4">
        <v>95</v>
      </c>
      <c r="J11" s="4">
        <v>93</v>
      </c>
      <c r="K11" s="4">
        <v>95</v>
      </c>
      <c r="L11" s="4">
        <f t="shared" si="1"/>
        <v>95</v>
      </c>
    </row>
    <row r="13" spans="1:12" x14ac:dyDescent="0.45">
      <c r="A13" s="39" t="s">
        <v>197</v>
      </c>
      <c r="B13" s="40" t="s">
        <v>187</v>
      </c>
      <c r="F13" s="42" t="s">
        <v>209</v>
      </c>
      <c r="G13" s="43" t="s">
        <v>158</v>
      </c>
      <c r="H13" s="44"/>
      <c r="I13" s="45"/>
    </row>
    <row r="14" spans="1:12" x14ac:dyDescent="0.45">
      <c r="A14" s="4" t="s">
        <v>188</v>
      </c>
      <c r="B14" s="4" t="s">
        <v>189</v>
      </c>
      <c r="C14" s="4" t="s">
        <v>190</v>
      </c>
      <c r="D14" s="4" t="s">
        <v>191</v>
      </c>
      <c r="F14" s="46" t="s">
        <v>159</v>
      </c>
      <c r="G14" s="46" t="s">
        <v>160</v>
      </c>
      <c r="H14" s="46" t="s">
        <v>161</v>
      </c>
      <c r="I14" s="46" t="s">
        <v>162</v>
      </c>
    </row>
    <row r="15" spans="1:12" x14ac:dyDescent="0.45">
      <c r="A15" s="4">
        <v>168001</v>
      </c>
      <c r="B15" s="4" t="s">
        <v>192</v>
      </c>
      <c r="C15" s="4">
        <v>35</v>
      </c>
      <c r="D15" s="50">
        <v>7.6006944444444446E-2</v>
      </c>
      <c r="F15" s="47" t="s">
        <v>163</v>
      </c>
      <c r="G15" s="46" t="s">
        <v>164</v>
      </c>
      <c r="H15" s="46">
        <v>243</v>
      </c>
      <c r="I15" s="48">
        <f>H15*12500</f>
        <v>3037500</v>
      </c>
    </row>
    <row r="16" spans="1:12" x14ac:dyDescent="0.45">
      <c r="A16" s="4">
        <v>168002</v>
      </c>
      <c r="B16" s="4" t="s">
        <v>193</v>
      </c>
      <c r="C16" s="4">
        <v>42</v>
      </c>
      <c r="D16" s="50">
        <v>7.3506944444444444E-2</v>
      </c>
      <c r="F16" s="47" t="s">
        <v>163</v>
      </c>
      <c r="G16" s="46" t="s">
        <v>165</v>
      </c>
      <c r="H16" s="46">
        <v>385</v>
      </c>
      <c r="I16" s="48">
        <f>H16*12500</f>
        <v>4812500</v>
      </c>
    </row>
    <row r="17" spans="1:10" x14ac:dyDescent="0.45">
      <c r="A17" s="4">
        <v>168003</v>
      </c>
      <c r="B17" s="4" t="s">
        <v>7</v>
      </c>
      <c r="C17" s="4">
        <v>29</v>
      </c>
      <c r="D17" s="50">
        <v>8.5717592592592595E-2</v>
      </c>
      <c r="F17" s="47" t="s">
        <v>163</v>
      </c>
      <c r="G17" s="46" t="s">
        <v>166</v>
      </c>
      <c r="H17" s="46">
        <v>196</v>
      </c>
      <c r="I17" s="48">
        <f>H17*12500</f>
        <v>2450000</v>
      </c>
    </row>
    <row r="18" spans="1:10" x14ac:dyDescent="0.45">
      <c r="A18" s="4">
        <v>168004</v>
      </c>
      <c r="B18" s="4" t="s">
        <v>194</v>
      </c>
      <c r="C18" s="4">
        <v>38</v>
      </c>
      <c r="D18" s="50">
        <v>7.7256944444444434E-2</v>
      </c>
      <c r="F18" s="47" t="s">
        <v>167</v>
      </c>
      <c r="G18" s="46" t="s">
        <v>164</v>
      </c>
      <c r="H18" s="46">
        <v>134</v>
      </c>
      <c r="I18" s="48">
        <f>H18*9500</f>
        <v>1273000</v>
      </c>
    </row>
    <row r="19" spans="1:10" x14ac:dyDescent="0.45">
      <c r="A19" s="4">
        <v>168005</v>
      </c>
      <c r="B19" s="4" t="s">
        <v>193</v>
      </c>
      <c r="C19" s="4">
        <v>44</v>
      </c>
      <c r="D19" s="50">
        <v>6.3981481481481486E-2</v>
      </c>
      <c r="F19" s="47" t="s">
        <v>167</v>
      </c>
      <c r="G19" s="46" t="s">
        <v>165</v>
      </c>
      <c r="H19" s="46">
        <v>310</v>
      </c>
      <c r="I19" s="48">
        <f>H19*9500</f>
        <v>2945000</v>
      </c>
    </row>
    <row r="20" spans="1:10" x14ac:dyDescent="0.45">
      <c r="A20" s="4">
        <v>168006</v>
      </c>
      <c r="B20" s="4" t="s">
        <v>195</v>
      </c>
      <c r="C20" s="4">
        <v>51</v>
      </c>
      <c r="D20" s="50">
        <v>7.075231481481481E-2</v>
      </c>
      <c r="F20" s="47" t="s">
        <v>167</v>
      </c>
      <c r="G20" s="46" t="s">
        <v>166</v>
      </c>
      <c r="H20" s="46">
        <v>251</v>
      </c>
      <c r="I20" s="48">
        <f>H20*9500</f>
        <v>2384500</v>
      </c>
    </row>
    <row r="21" spans="1:10" x14ac:dyDescent="0.45">
      <c r="A21" s="4">
        <v>168007</v>
      </c>
      <c r="B21" s="4" t="s">
        <v>192</v>
      </c>
      <c r="C21" s="4">
        <v>32</v>
      </c>
      <c r="D21" s="50">
        <v>8.4224537037037028E-2</v>
      </c>
      <c r="F21" s="47" t="s">
        <v>168</v>
      </c>
      <c r="G21" s="46" t="s">
        <v>164</v>
      </c>
      <c r="H21" s="46">
        <v>89</v>
      </c>
      <c r="I21" s="48">
        <f>H21*85500</f>
        <v>7609500</v>
      </c>
    </row>
    <row r="22" spans="1:10" x14ac:dyDescent="0.45">
      <c r="A22" s="4">
        <v>168008</v>
      </c>
      <c r="B22" s="4" t="s">
        <v>7</v>
      </c>
      <c r="C22" s="4">
        <v>40</v>
      </c>
      <c r="D22" s="50">
        <v>6.9004629629629624E-2</v>
      </c>
      <c r="F22" s="47" t="s">
        <v>168</v>
      </c>
      <c r="G22" s="46" t="s">
        <v>165</v>
      </c>
      <c r="H22" s="46">
        <v>101</v>
      </c>
      <c r="I22" s="48">
        <f>H22*85500</f>
        <v>8635500</v>
      </c>
    </row>
    <row r="23" spans="1:10" x14ac:dyDescent="0.45">
      <c r="A23" s="4">
        <v>168009</v>
      </c>
      <c r="B23" s="4" t="s">
        <v>194</v>
      </c>
      <c r="C23" s="4">
        <v>23</v>
      </c>
      <c r="D23" s="50">
        <v>8.0844907407407407E-2</v>
      </c>
      <c r="F23" s="47" t="s">
        <v>168</v>
      </c>
      <c r="G23" s="46" t="s">
        <v>166</v>
      </c>
      <c r="H23" s="46">
        <v>67</v>
      </c>
      <c r="I23" s="48">
        <f>H23*85500</f>
        <v>5728500</v>
      </c>
    </row>
    <row r="24" spans="1:10" x14ac:dyDescent="0.45">
      <c r="A24" s="54" t="s">
        <v>196</v>
      </c>
      <c r="B24" s="55"/>
      <c r="C24" s="56" t="str">
        <f>HOUR(SMALL(D15:D23,1))&amp;"시간"&amp;MINUTE(SMALL(D15:D23,1))&amp;"분"&amp;SECOND(SMALL(D15:D23,1))&amp;"초"</f>
        <v>1시간32분8초</v>
      </c>
      <c r="D24" s="57"/>
      <c r="F24" s="58" t="s">
        <v>169</v>
      </c>
      <c r="G24" s="59"/>
      <c r="H24" s="60"/>
      <c r="I24" s="49">
        <f>SUMIF(G15:G23,"용산",H15:H23)/SUM(H15:H23)</f>
        <v>0.44819819819819817</v>
      </c>
    </row>
    <row r="26" spans="1:10" x14ac:dyDescent="0.45">
      <c r="A26" s="39" t="s">
        <v>170</v>
      </c>
      <c r="B26" s="40" t="s">
        <v>198</v>
      </c>
    </row>
    <row r="27" spans="1:10" x14ac:dyDescent="0.45">
      <c r="A27" s="4" t="s">
        <v>199</v>
      </c>
      <c r="B27" s="4" t="s">
        <v>200</v>
      </c>
      <c r="C27" s="4" t="s">
        <v>85</v>
      </c>
      <c r="D27" s="41" t="s">
        <v>201</v>
      </c>
      <c r="F27" t="s">
        <v>202</v>
      </c>
    </row>
    <row r="28" spans="1:10" x14ac:dyDescent="0.45">
      <c r="A28" s="4">
        <v>1</v>
      </c>
      <c r="B28" s="4" t="s">
        <v>203</v>
      </c>
      <c r="C28" s="4">
        <v>3</v>
      </c>
      <c r="D28" s="14">
        <f>IFERROR(C28*HLOOKUP(B28,$G$28:$J$29,2,FALSE),"주문오류")</f>
        <v>15000</v>
      </c>
      <c r="F28" s="4" t="s">
        <v>200</v>
      </c>
      <c r="G28" s="4" t="s">
        <v>204</v>
      </c>
      <c r="H28" s="4" t="s">
        <v>203</v>
      </c>
      <c r="I28" s="4" t="s">
        <v>205</v>
      </c>
      <c r="J28" s="4" t="s">
        <v>206</v>
      </c>
    </row>
    <row r="29" spans="1:10" x14ac:dyDescent="0.45">
      <c r="A29" s="4">
        <v>2</v>
      </c>
      <c r="B29" s="4" t="s">
        <v>206</v>
      </c>
      <c r="C29" s="4">
        <v>2</v>
      </c>
      <c r="D29" s="14">
        <f t="shared" ref="D29:D36" si="2">IFERROR(C29*HLOOKUP(B29,$G$28:$J$29,2,FALSE),"주문오류")</f>
        <v>14000</v>
      </c>
      <c r="F29" s="4" t="s">
        <v>207</v>
      </c>
      <c r="G29" s="14">
        <v>3500</v>
      </c>
      <c r="H29" s="14">
        <v>5000</v>
      </c>
      <c r="I29" s="14">
        <v>5500</v>
      </c>
      <c r="J29" s="14">
        <v>7000</v>
      </c>
    </row>
    <row r="30" spans="1:10" x14ac:dyDescent="0.45">
      <c r="A30" s="4">
        <v>3</v>
      </c>
      <c r="B30" s="4" t="s">
        <v>204</v>
      </c>
      <c r="C30" s="4">
        <v>5</v>
      </c>
      <c r="D30" s="14">
        <f t="shared" si="2"/>
        <v>17500</v>
      </c>
    </row>
    <row r="31" spans="1:10" x14ac:dyDescent="0.45">
      <c r="A31" s="4">
        <v>4</v>
      </c>
      <c r="B31" s="4" t="s">
        <v>205</v>
      </c>
      <c r="C31" s="4">
        <v>3</v>
      </c>
      <c r="D31" s="14">
        <f t="shared" si="2"/>
        <v>16500</v>
      </c>
    </row>
    <row r="32" spans="1:10" x14ac:dyDescent="0.45">
      <c r="A32" s="4">
        <v>5</v>
      </c>
      <c r="B32" s="4" t="s">
        <v>205</v>
      </c>
      <c r="C32" s="4">
        <v>2</v>
      </c>
      <c r="D32" s="14">
        <f t="shared" si="2"/>
        <v>11000</v>
      </c>
    </row>
    <row r="33" spans="1:4" x14ac:dyDescent="0.45">
      <c r="A33" s="4">
        <v>6</v>
      </c>
      <c r="B33" s="4" t="s">
        <v>208</v>
      </c>
      <c r="C33" s="4">
        <v>4</v>
      </c>
      <c r="D33" s="14" t="str">
        <f t="shared" si="2"/>
        <v>주문오류</v>
      </c>
    </row>
    <row r="34" spans="1:4" x14ac:dyDescent="0.45">
      <c r="A34" s="4">
        <v>7</v>
      </c>
      <c r="B34" s="4" t="s">
        <v>206</v>
      </c>
      <c r="C34" s="4">
        <v>3</v>
      </c>
      <c r="D34" s="14">
        <f t="shared" si="2"/>
        <v>21000</v>
      </c>
    </row>
    <row r="35" spans="1:4" x14ac:dyDescent="0.45">
      <c r="A35" s="4">
        <v>8</v>
      </c>
      <c r="B35" s="4" t="s">
        <v>203</v>
      </c>
      <c r="C35" s="4">
        <v>5</v>
      </c>
      <c r="D35" s="14">
        <f t="shared" si="2"/>
        <v>25000</v>
      </c>
    </row>
    <row r="36" spans="1:4" x14ac:dyDescent="0.45">
      <c r="A36" s="4">
        <v>9</v>
      </c>
      <c r="B36" s="4" t="s">
        <v>204</v>
      </c>
      <c r="C36" s="4">
        <v>6</v>
      </c>
      <c r="D36" s="14">
        <f t="shared" si="2"/>
        <v>21000</v>
      </c>
    </row>
  </sheetData>
  <mergeCells count="3">
    <mergeCell ref="A24:B24"/>
    <mergeCell ref="C24:D24"/>
    <mergeCell ref="F24:H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G23"/>
  <sheetViews>
    <sheetView workbookViewId="0">
      <selection sqref="A1:G1"/>
    </sheetView>
  </sheetViews>
  <sheetFormatPr defaultRowHeight="17" outlineLevelRow="3" x14ac:dyDescent="0.45"/>
  <cols>
    <col min="1" max="1" width="11.25" bestFit="1" customWidth="1"/>
    <col min="4" max="7" width="10.58203125" bestFit="1" customWidth="1"/>
  </cols>
  <sheetData>
    <row r="1" spans="1:7" ht="21" x14ac:dyDescent="0.45">
      <c r="A1" s="53" t="s">
        <v>54</v>
      </c>
      <c r="B1" s="53"/>
      <c r="C1" s="53"/>
      <c r="D1" s="53"/>
      <c r="E1" s="53"/>
      <c r="F1" s="53"/>
      <c r="G1" s="53"/>
    </row>
    <row r="3" spans="1:7" x14ac:dyDescent="0.45">
      <c r="A3" s="4" t="s">
        <v>55</v>
      </c>
      <c r="B3" s="4" t="s">
        <v>56</v>
      </c>
      <c r="C3" s="4" t="s">
        <v>57</v>
      </c>
      <c r="D3" s="4" t="s">
        <v>58</v>
      </c>
      <c r="E3" s="4" t="s">
        <v>59</v>
      </c>
      <c r="F3" s="4" t="s">
        <v>60</v>
      </c>
      <c r="G3" s="4" t="s">
        <v>61</v>
      </c>
    </row>
    <row r="4" spans="1:7" outlineLevel="3" x14ac:dyDescent="0.45">
      <c r="A4" s="4" t="s">
        <v>62</v>
      </c>
      <c r="B4" s="4" t="s">
        <v>63</v>
      </c>
      <c r="C4" s="4" t="s">
        <v>64</v>
      </c>
      <c r="D4" s="14">
        <v>4823000</v>
      </c>
      <c r="E4" s="14">
        <v>1929000</v>
      </c>
      <c r="F4" s="14">
        <v>1080000</v>
      </c>
      <c r="G4" s="14">
        <v>5672000</v>
      </c>
    </row>
    <row r="5" spans="1:7" outlineLevel="3" x14ac:dyDescent="0.45">
      <c r="A5" s="4" t="s">
        <v>62</v>
      </c>
      <c r="B5" s="4" t="s">
        <v>71</v>
      </c>
      <c r="C5" s="4" t="s">
        <v>70</v>
      </c>
      <c r="D5" s="14">
        <v>4186000</v>
      </c>
      <c r="E5" s="14">
        <v>1674000</v>
      </c>
      <c r="F5" s="14">
        <v>938000</v>
      </c>
      <c r="G5" s="14">
        <v>4922000</v>
      </c>
    </row>
    <row r="6" spans="1:7" outlineLevel="3" x14ac:dyDescent="0.45">
      <c r="A6" s="4" t="s">
        <v>62</v>
      </c>
      <c r="B6" s="4" t="s">
        <v>75</v>
      </c>
      <c r="C6" s="4" t="s">
        <v>74</v>
      </c>
      <c r="D6" s="14">
        <v>3770000</v>
      </c>
      <c r="E6" s="14">
        <v>1508000</v>
      </c>
      <c r="F6" s="14">
        <v>844000</v>
      </c>
      <c r="G6" s="14">
        <v>4434000</v>
      </c>
    </row>
    <row r="7" spans="1:7" outlineLevel="3" x14ac:dyDescent="0.45">
      <c r="A7" s="4" t="s">
        <v>62</v>
      </c>
      <c r="B7" s="4" t="s">
        <v>79</v>
      </c>
      <c r="C7" s="4" t="s">
        <v>78</v>
      </c>
      <c r="D7" s="14">
        <v>3549000</v>
      </c>
      <c r="E7" s="14">
        <v>1420000</v>
      </c>
      <c r="F7" s="14">
        <v>795000</v>
      </c>
      <c r="G7" s="14">
        <v>4174000</v>
      </c>
    </row>
    <row r="8" spans="1:7" outlineLevel="2" x14ac:dyDescent="0.45">
      <c r="A8" s="18" t="s">
        <v>103</v>
      </c>
      <c r="B8" s="4"/>
      <c r="C8" s="4"/>
      <c r="D8" s="14">
        <f>SUBTOTAL(1,D4:D7)</f>
        <v>4082000</v>
      </c>
      <c r="E8" s="14">
        <f>SUBTOTAL(1,E4:E7)</f>
        <v>1632750</v>
      </c>
      <c r="F8" s="14">
        <f>SUBTOTAL(1,F4:F7)</f>
        <v>914250</v>
      </c>
      <c r="G8" s="14"/>
    </row>
    <row r="9" spans="1:7" outlineLevel="1" x14ac:dyDescent="0.45">
      <c r="A9" s="18" t="s">
        <v>99</v>
      </c>
      <c r="B9" s="4"/>
      <c r="C9" s="4"/>
      <c r="D9" s="14"/>
      <c r="E9" s="14"/>
      <c r="F9" s="14"/>
      <c r="G9" s="14">
        <f>SUBTOTAL(4,G4:G7)</f>
        <v>5672000</v>
      </c>
    </row>
    <row r="10" spans="1:7" outlineLevel="3" x14ac:dyDescent="0.45">
      <c r="A10" s="4" t="s">
        <v>65</v>
      </c>
      <c r="B10" s="4" t="s">
        <v>66</v>
      </c>
      <c r="C10" s="4" t="s">
        <v>64</v>
      </c>
      <c r="D10" s="14">
        <v>4979000</v>
      </c>
      <c r="E10" s="14">
        <v>1992000</v>
      </c>
      <c r="F10" s="14">
        <v>1115000</v>
      </c>
      <c r="G10" s="14">
        <v>5856000</v>
      </c>
    </row>
    <row r="11" spans="1:7" outlineLevel="3" x14ac:dyDescent="0.45">
      <c r="A11" s="4" t="s">
        <v>65</v>
      </c>
      <c r="B11" s="4" t="s">
        <v>72</v>
      </c>
      <c r="C11" s="4" t="s">
        <v>70</v>
      </c>
      <c r="D11" s="14">
        <v>4095000</v>
      </c>
      <c r="E11" s="14">
        <v>1638000</v>
      </c>
      <c r="F11" s="14">
        <v>917000</v>
      </c>
      <c r="G11" s="14">
        <v>4816000</v>
      </c>
    </row>
    <row r="12" spans="1:7" outlineLevel="3" x14ac:dyDescent="0.45">
      <c r="A12" s="4" t="s">
        <v>65</v>
      </c>
      <c r="B12" s="4" t="s">
        <v>76</v>
      </c>
      <c r="C12" s="4" t="s">
        <v>74</v>
      </c>
      <c r="D12" s="14">
        <v>3718000</v>
      </c>
      <c r="E12" s="14">
        <v>1487000</v>
      </c>
      <c r="F12" s="14">
        <v>833000</v>
      </c>
      <c r="G12" s="14">
        <v>4372000</v>
      </c>
    </row>
    <row r="13" spans="1:7" outlineLevel="3" x14ac:dyDescent="0.45">
      <c r="A13" s="4" t="s">
        <v>65</v>
      </c>
      <c r="B13" s="4" t="s">
        <v>77</v>
      </c>
      <c r="C13" s="4" t="s">
        <v>78</v>
      </c>
      <c r="D13" s="14">
        <v>3588000</v>
      </c>
      <c r="E13" s="14">
        <v>1435000</v>
      </c>
      <c r="F13" s="14">
        <v>804000</v>
      </c>
      <c r="G13" s="14">
        <v>4219000</v>
      </c>
    </row>
    <row r="14" spans="1:7" outlineLevel="2" x14ac:dyDescent="0.45">
      <c r="A14" s="18" t="s">
        <v>104</v>
      </c>
      <c r="B14" s="4"/>
      <c r="C14" s="4"/>
      <c r="D14" s="14">
        <f>SUBTOTAL(1,D10:D13)</f>
        <v>4095000</v>
      </c>
      <c r="E14" s="14">
        <f>SUBTOTAL(1,E10:E13)</f>
        <v>1638000</v>
      </c>
      <c r="F14" s="14">
        <f>SUBTOTAL(1,F10:F13)</f>
        <v>917250</v>
      </c>
      <c r="G14" s="14"/>
    </row>
    <row r="15" spans="1:7" outlineLevel="1" x14ac:dyDescent="0.45">
      <c r="A15" s="18" t="s">
        <v>100</v>
      </c>
      <c r="B15" s="4"/>
      <c r="C15" s="4"/>
      <c r="D15" s="14"/>
      <c r="E15" s="14"/>
      <c r="F15" s="14"/>
      <c r="G15" s="14">
        <f>SUBTOTAL(4,G10:G13)</f>
        <v>5856000</v>
      </c>
    </row>
    <row r="16" spans="1:7" outlineLevel="3" x14ac:dyDescent="0.45">
      <c r="A16" s="4" t="s">
        <v>67</v>
      </c>
      <c r="B16" s="4" t="s">
        <v>68</v>
      </c>
      <c r="C16" s="4" t="s">
        <v>64</v>
      </c>
      <c r="D16" s="14">
        <v>4771000</v>
      </c>
      <c r="E16" s="14">
        <v>1908000</v>
      </c>
      <c r="F16" s="14">
        <v>1069000</v>
      </c>
      <c r="G16" s="14">
        <v>5610000</v>
      </c>
    </row>
    <row r="17" spans="1:7" outlineLevel="3" x14ac:dyDescent="0.45">
      <c r="A17" s="4" t="s">
        <v>67</v>
      </c>
      <c r="B17" s="4" t="s">
        <v>69</v>
      </c>
      <c r="C17" s="4" t="s">
        <v>70</v>
      </c>
      <c r="D17" s="14">
        <v>4342000</v>
      </c>
      <c r="E17" s="14">
        <v>1737000</v>
      </c>
      <c r="F17" s="14">
        <v>973000</v>
      </c>
      <c r="G17" s="14">
        <v>5106000</v>
      </c>
    </row>
    <row r="18" spans="1:7" outlineLevel="3" x14ac:dyDescent="0.45">
      <c r="A18" s="4" t="s">
        <v>67</v>
      </c>
      <c r="B18" s="4" t="s">
        <v>73</v>
      </c>
      <c r="C18" s="4" t="s">
        <v>74</v>
      </c>
      <c r="D18" s="14">
        <v>3822000</v>
      </c>
      <c r="E18" s="14">
        <v>1529000</v>
      </c>
      <c r="F18" s="14">
        <v>856000</v>
      </c>
      <c r="G18" s="14">
        <v>4495000</v>
      </c>
    </row>
    <row r="19" spans="1:7" outlineLevel="3" x14ac:dyDescent="0.45">
      <c r="A19" s="4" t="s">
        <v>67</v>
      </c>
      <c r="B19" s="4" t="s">
        <v>80</v>
      </c>
      <c r="C19" s="4" t="s">
        <v>78</v>
      </c>
      <c r="D19" s="14">
        <v>3484000</v>
      </c>
      <c r="E19" s="14">
        <v>1394000</v>
      </c>
      <c r="F19" s="14">
        <v>780000</v>
      </c>
      <c r="G19" s="14">
        <v>4098000</v>
      </c>
    </row>
    <row r="20" spans="1:7" outlineLevel="2" x14ac:dyDescent="0.45">
      <c r="A20" s="21" t="s">
        <v>105</v>
      </c>
      <c r="B20" s="19"/>
      <c r="C20" s="19"/>
      <c r="D20" s="20">
        <f>SUBTOTAL(1,D16:D19)</f>
        <v>4104750</v>
      </c>
      <c r="E20" s="20">
        <f>SUBTOTAL(1,E16:E19)</f>
        <v>1642000</v>
      </c>
      <c r="F20" s="20">
        <f>SUBTOTAL(1,F16:F19)</f>
        <v>919500</v>
      </c>
      <c r="G20" s="20"/>
    </row>
    <row r="21" spans="1:7" outlineLevel="1" x14ac:dyDescent="0.45">
      <c r="A21" s="21" t="s">
        <v>101</v>
      </c>
      <c r="B21" s="19"/>
      <c r="C21" s="19"/>
      <c r="D21" s="20"/>
      <c r="E21" s="20"/>
      <c r="F21" s="20"/>
      <c r="G21" s="20">
        <f>SUBTOTAL(4,G16:G19)</f>
        <v>5610000</v>
      </c>
    </row>
    <row r="22" spans="1:7" x14ac:dyDescent="0.45">
      <c r="A22" s="21" t="s">
        <v>106</v>
      </c>
      <c r="B22" s="19"/>
      <c r="C22" s="19"/>
      <c r="D22" s="20">
        <f>SUBTOTAL(1,D4:D19)</f>
        <v>4093916.6666666665</v>
      </c>
      <c r="E22" s="20">
        <f>SUBTOTAL(1,E4:E19)</f>
        <v>1637583.3333333333</v>
      </c>
      <c r="F22" s="20">
        <f>SUBTOTAL(1,F4:F19)</f>
        <v>917000</v>
      </c>
      <c r="G22" s="20"/>
    </row>
    <row r="23" spans="1:7" x14ac:dyDescent="0.45">
      <c r="A23" s="21" t="s">
        <v>102</v>
      </c>
      <c r="B23" s="19"/>
      <c r="C23" s="19"/>
      <c r="D23" s="20"/>
      <c r="E23" s="20"/>
      <c r="F23" s="20"/>
      <c r="G23" s="20">
        <f>SUBTOTAL(4,G4:G19)</f>
        <v>5856000</v>
      </c>
    </row>
  </sheetData>
  <sortState xmlns:xlrd2="http://schemas.microsoft.com/office/spreadsheetml/2017/richdata2" ref="A4:G19">
    <sortCondition ref="A4:A19"/>
  </sortState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A2F53-BE79-42E8-BBF1-A636E0D0FCEA}">
  <sheetPr>
    <outlinePr summaryBelow="0"/>
  </sheetPr>
  <dimension ref="B1:F11"/>
  <sheetViews>
    <sheetView showGridLines="0" workbookViewId="0"/>
  </sheetViews>
  <sheetFormatPr defaultRowHeight="17" outlineLevelRow="1" outlineLevelCol="1" x14ac:dyDescent="0.45"/>
  <cols>
    <col min="3" max="3" width="10.4140625" bestFit="1" customWidth="1"/>
    <col min="4" max="6" width="10.58203125" bestFit="1" customWidth="1" outlineLevel="1"/>
  </cols>
  <sheetData>
    <row r="1" spans="2:6" ht="17.5" thickBot="1" x14ac:dyDescent="0.5"/>
    <row r="2" spans="2:6" x14ac:dyDescent="0.45">
      <c r="B2" s="26" t="s">
        <v>110</v>
      </c>
      <c r="C2" s="27"/>
      <c r="D2" s="33"/>
      <c r="E2" s="33"/>
      <c r="F2" s="33"/>
    </row>
    <row r="3" spans="2:6" collapsed="1" x14ac:dyDescent="0.45">
      <c r="B3" s="25"/>
      <c r="C3" s="25"/>
      <c r="D3" s="34" t="s">
        <v>112</v>
      </c>
      <c r="E3" s="34" t="s">
        <v>108</v>
      </c>
      <c r="F3" s="34" t="s">
        <v>109</v>
      </c>
    </row>
    <row r="4" spans="2:6" hidden="1" outlineLevel="1" x14ac:dyDescent="0.45">
      <c r="B4" s="29"/>
      <c r="C4" s="29"/>
      <c r="D4" s="22"/>
      <c r="E4" s="36"/>
      <c r="F4" s="36"/>
    </row>
    <row r="5" spans="2:6" x14ac:dyDescent="0.45">
      <c r="B5" s="30" t="s">
        <v>111</v>
      </c>
      <c r="C5" s="31"/>
      <c r="D5" s="28"/>
      <c r="E5" s="28"/>
      <c r="F5" s="28"/>
    </row>
    <row r="6" spans="2:6" outlineLevel="1" x14ac:dyDescent="0.45">
      <c r="B6" s="29"/>
      <c r="C6" s="29" t="s">
        <v>107</v>
      </c>
      <c r="D6" s="23">
        <v>1200</v>
      </c>
      <c r="E6" s="35">
        <v>1250</v>
      </c>
      <c r="F6" s="35">
        <v>1150</v>
      </c>
    </row>
    <row r="7" spans="2:6" x14ac:dyDescent="0.45">
      <c r="B7" s="30" t="s">
        <v>113</v>
      </c>
      <c r="C7" s="31"/>
      <c r="D7" s="28"/>
      <c r="E7" s="28"/>
      <c r="F7" s="28"/>
    </row>
    <row r="8" spans="2:6" ht="17.5" outlineLevel="1" thickBot="1" x14ac:dyDescent="0.5">
      <c r="B8" s="32"/>
      <c r="C8" s="32" t="s">
        <v>98</v>
      </c>
      <c r="D8" s="24">
        <v>4941600</v>
      </c>
      <c r="E8" s="24">
        <v>5147500</v>
      </c>
      <c r="F8" s="24">
        <v>4735700</v>
      </c>
    </row>
    <row r="9" spans="2:6" x14ac:dyDescent="0.45">
      <c r="B9" t="s">
        <v>114</v>
      </c>
    </row>
    <row r="10" spans="2:6" x14ac:dyDescent="0.45">
      <c r="B10" t="s">
        <v>115</v>
      </c>
    </row>
    <row r="11" spans="2:6" x14ac:dyDescent="0.45">
      <c r="B11" t="s">
        <v>116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B1:G13"/>
  <sheetViews>
    <sheetView workbookViewId="0">
      <selection activeCell="G13" sqref="G13"/>
    </sheetView>
  </sheetViews>
  <sheetFormatPr defaultRowHeight="17" x14ac:dyDescent="0.45"/>
  <cols>
    <col min="1" max="1" width="2.58203125" customWidth="1"/>
    <col min="4" max="4" width="11.6640625" bestFit="1" customWidth="1"/>
    <col min="6" max="7" width="11.6640625" bestFit="1" customWidth="1"/>
  </cols>
  <sheetData>
    <row r="1" spans="2:7" ht="21" x14ac:dyDescent="0.45">
      <c r="B1" s="53" t="s">
        <v>81</v>
      </c>
      <c r="C1" s="53"/>
      <c r="D1" s="53"/>
      <c r="E1" s="53"/>
      <c r="F1" s="53"/>
      <c r="G1" s="53"/>
    </row>
    <row r="2" spans="2:7" x14ac:dyDescent="0.45">
      <c r="F2" s="16" t="s">
        <v>82</v>
      </c>
      <c r="G2" s="17">
        <v>1200</v>
      </c>
    </row>
    <row r="3" spans="2:7" x14ac:dyDescent="0.45">
      <c r="B3" s="4" t="s">
        <v>55</v>
      </c>
      <c r="C3" s="4" t="s">
        <v>83</v>
      </c>
      <c r="D3" s="4" t="s">
        <v>84</v>
      </c>
      <c r="E3" s="4" t="s">
        <v>85</v>
      </c>
      <c r="F3" s="4" t="s">
        <v>86</v>
      </c>
      <c r="G3" s="4" t="s">
        <v>87</v>
      </c>
    </row>
    <row r="4" spans="2:7" x14ac:dyDescent="0.45">
      <c r="B4" s="4" t="s">
        <v>65</v>
      </c>
      <c r="C4" s="4" t="s">
        <v>88</v>
      </c>
      <c r="D4" s="15">
        <v>150</v>
      </c>
      <c r="E4" s="4">
        <v>3</v>
      </c>
      <c r="F4" s="4">
        <v>4</v>
      </c>
      <c r="G4" s="15">
        <f>(D4*E4*$G$2)+(F4*$G$2)</f>
        <v>544800</v>
      </c>
    </row>
    <row r="5" spans="2:7" x14ac:dyDescent="0.45">
      <c r="B5" s="4" t="s">
        <v>62</v>
      </c>
      <c r="C5" s="4" t="s">
        <v>89</v>
      </c>
      <c r="D5" s="15">
        <v>80</v>
      </c>
      <c r="E5" s="4">
        <v>1</v>
      </c>
      <c r="F5" s="4">
        <v>3</v>
      </c>
      <c r="G5" s="15">
        <f t="shared" ref="G5:G12" si="0">(D5*E5*$G$2)+(F5*$G$2)</f>
        <v>99600</v>
      </c>
    </row>
    <row r="6" spans="2:7" x14ac:dyDescent="0.45">
      <c r="B6" s="4" t="s">
        <v>90</v>
      </c>
      <c r="C6" s="4" t="s">
        <v>91</v>
      </c>
      <c r="D6" s="15">
        <v>384</v>
      </c>
      <c r="E6" s="4">
        <v>2</v>
      </c>
      <c r="F6" s="4">
        <v>6</v>
      </c>
      <c r="G6" s="15">
        <f t="shared" si="0"/>
        <v>928800</v>
      </c>
    </row>
    <row r="7" spans="2:7" x14ac:dyDescent="0.45">
      <c r="B7" s="4" t="s">
        <v>65</v>
      </c>
      <c r="C7" s="4" t="s">
        <v>92</v>
      </c>
      <c r="D7" s="15">
        <v>55</v>
      </c>
      <c r="E7" s="4">
        <v>5</v>
      </c>
      <c r="F7" s="4">
        <v>12</v>
      </c>
      <c r="G7" s="15">
        <f t="shared" si="0"/>
        <v>344400</v>
      </c>
    </row>
    <row r="8" spans="2:7" x14ac:dyDescent="0.45">
      <c r="B8" s="4" t="s">
        <v>62</v>
      </c>
      <c r="C8" s="4" t="s">
        <v>93</v>
      </c>
      <c r="D8" s="15">
        <v>97</v>
      </c>
      <c r="E8" s="4">
        <v>2</v>
      </c>
      <c r="F8" s="4">
        <v>5</v>
      </c>
      <c r="G8" s="15">
        <f t="shared" si="0"/>
        <v>238800</v>
      </c>
    </row>
    <row r="9" spans="2:7" x14ac:dyDescent="0.45">
      <c r="B9" s="4" t="s">
        <v>90</v>
      </c>
      <c r="C9" s="4" t="s">
        <v>94</v>
      </c>
      <c r="D9" s="15">
        <v>265</v>
      </c>
      <c r="E9" s="4">
        <v>4</v>
      </c>
      <c r="F9" s="4">
        <v>10</v>
      </c>
      <c r="G9" s="15">
        <f t="shared" si="0"/>
        <v>1284000</v>
      </c>
    </row>
    <row r="10" spans="2:7" x14ac:dyDescent="0.45">
      <c r="B10" s="4" t="s">
        <v>90</v>
      </c>
      <c r="C10" s="4" t="s">
        <v>95</v>
      </c>
      <c r="D10" s="15">
        <v>200</v>
      </c>
      <c r="E10" s="4">
        <v>3</v>
      </c>
      <c r="F10" s="4">
        <v>8</v>
      </c>
      <c r="G10" s="15">
        <f t="shared" si="0"/>
        <v>729600</v>
      </c>
    </row>
    <row r="11" spans="2:7" x14ac:dyDescent="0.45">
      <c r="B11" s="4" t="s">
        <v>65</v>
      </c>
      <c r="C11" s="4" t="s">
        <v>96</v>
      </c>
      <c r="D11" s="15">
        <v>83</v>
      </c>
      <c r="E11" s="4">
        <v>3</v>
      </c>
      <c r="F11" s="4">
        <v>7</v>
      </c>
      <c r="G11" s="15">
        <f t="shared" si="0"/>
        <v>307200</v>
      </c>
    </row>
    <row r="12" spans="2:7" x14ac:dyDescent="0.45">
      <c r="B12" s="4" t="s">
        <v>62</v>
      </c>
      <c r="C12" s="4" t="s">
        <v>97</v>
      </c>
      <c r="D12" s="15">
        <v>191</v>
      </c>
      <c r="E12" s="4">
        <v>2</v>
      </c>
      <c r="F12" s="4">
        <v>5</v>
      </c>
      <c r="G12" s="15">
        <f t="shared" si="0"/>
        <v>464400</v>
      </c>
    </row>
    <row r="13" spans="2:7" x14ac:dyDescent="0.45">
      <c r="F13" s="4" t="s">
        <v>98</v>
      </c>
      <c r="G13" s="15">
        <f>SUM(G4:G12)</f>
        <v>4941600</v>
      </c>
    </row>
  </sheetData>
  <scenarios current="0" sqref="G13">
    <scenario name="환율증가" locked="1" count="1" user="김종일">
      <inputCells r="G2" val="1250" numFmtId="41"/>
    </scenario>
    <scenario name="환율감소" locked="1" count="1" user="김종일">
      <inputCells r="G2" val="1150" numFmtId="41"/>
    </scenario>
  </scenarios>
  <mergeCells count="1">
    <mergeCell ref="B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H8"/>
  <sheetViews>
    <sheetView workbookViewId="0">
      <selection sqref="A1:H1"/>
    </sheetView>
  </sheetViews>
  <sheetFormatPr defaultRowHeight="17" x14ac:dyDescent="0.45"/>
  <cols>
    <col min="2" max="8" width="7.08203125" customWidth="1"/>
  </cols>
  <sheetData>
    <row r="1" spans="1:8" ht="21" x14ac:dyDescent="0.45">
      <c r="A1" s="53" t="s">
        <v>117</v>
      </c>
      <c r="B1" s="53"/>
      <c r="C1" s="53"/>
      <c r="D1" s="53"/>
      <c r="E1" s="53"/>
      <c r="F1" s="53"/>
      <c r="G1" s="53"/>
      <c r="H1" s="53"/>
    </row>
    <row r="3" spans="1:8" x14ac:dyDescent="0.45">
      <c r="A3" s="37" t="s">
        <v>118</v>
      </c>
      <c r="B3" s="38" t="s">
        <v>119</v>
      </c>
      <c r="C3" s="38" t="s">
        <v>120</v>
      </c>
      <c r="D3" s="38" t="s">
        <v>121</v>
      </c>
      <c r="E3" s="38" t="s">
        <v>122</v>
      </c>
      <c r="F3" s="38" t="s">
        <v>123</v>
      </c>
      <c r="G3" s="38" t="s">
        <v>124</v>
      </c>
      <c r="H3" s="38" t="s">
        <v>125</v>
      </c>
    </row>
    <row r="4" spans="1:8" x14ac:dyDescent="0.45">
      <c r="A4" s="4" t="s">
        <v>126</v>
      </c>
      <c r="B4" s="14">
        <v>6552</v>
      </c>
      <c r="C4" s="14">
        <v>6916</v>
      </c>
      <c r="D4" s="14">
        <v>6734</v>
      </c>
      <c r="E4" s="14">
        <v>7098</v>
      </c>
      <c r="F4" s="14">
        <v>6516</v>
      </c>
      <c r="G4" s="14">
        <v>7247</v>
      </c>
      <c r="H4" s="14">
        <f>AVERAGE(B4:G4)</f>
        <v>6843.833333333333</v>
      </c>
    </row>
    <row r="5" spans="1:8" x14ac:dyDescent="0.45">
      <c r="A5" s="4" t="s">
        <v>127</v>
      </c>
      <c r="B5" s="14">
        <v>5278</v>
      </c>
      <c r="C5" s="14">
        <v>4914</v>
      </c>
      <c r="D5" s="14">
        <v>5278</v>
      </c>
      <c r="E5" s="14">
        <v>5096</v>
      </c>
      <c r="F5" s="14">
        <v>5430</v>
      </c>
      <c r="G5" s="14">
        <v>5241</v>
      </c>
      <c r="H5" s="14">
        <f t="shared" ref="H5:H8" si="0">AVERAGE(B5:G5)</f>
        <v>5206.166666666667</v>
      </c>
    </row>
    <row r="6" spans="1:8" x14ac:dyDescent="0.45">
      <c r="A6" s="4" t="s">
        <v>128</v>
      </c>
      <c r="B6" s="14">
        <v>4004</v>
      </c>
      <c r="C6" s="14">
        <v>4732</v>
      </c>
      <c r="D6" s="14">
        <v>5249</v>
      </c>
      <c r="E6" s="14">
        <v>4887</v>
      </c>
      <c r="F6" s="14">
        <v>5124</v>
      </c>
      <c r="G6" s="14">
        <v>4935</v>
      </c>
      <c r="H6" s="14">
        <f t="shared" si="0"/>
        <v>4821.833333333333</v>
      </c>
    </row>
    <row r="7" spans="1:8" x14ac:dyDescent="0.45">
      <c r="A7" s="4" t="s">
        <v>129</v>
      </c>
      <c r="B7" s="14">
        <v>5642</v>
      </c>
      <c r="C7" s="14">
        <v>5096</v>
      </c>
      <c r="D7" s="14">
        <v>5824</v>
      </c>
      <c r="E7" s="14">
        <v>5460</v>
      </c>
      <c r="F7" s="14">
        <v>5611</v>
      </c>
      <c r="G7" s="14">
        <v>5517</v>
      </c>
      <c r="H7" s="14">
        <f t="shared" si="0"/>
        <v>5525</v>
      </c>
    </row>
    <row r="8" spans="1:8" x14ac:dyDescent="0.45">
      <c r="A8" s="4" t="s">
        <v>130</v>
      </c>
      <c r="B8" s="14">
        <v>4914</v>
      </c>
      <c r="C8" s="14">
        <v>4004</v>
      </c>
      <c r="D8" s="14">
        <v>3801</v>
      </c>
      <c r="E8" s="14">
        <v>4344</v>
      </c>
      <c r="F8" s="14">
        <v>4209</v>
      </c>
      <c r="G8" s="14">
        <v>3924</v>
      </c>
      <c r="H8" s="14">
        <f t="shared" si="0"/>
        <v>4199.333333333333</v>
      </c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서식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dimension ref="B1:F8"/>
  <sheetViews>
    <sheetView workbookViewId="0">
      <selection activeCell="B1" sqref="B1:F1"/>
    </sheetView>
  </sheetViews>
  <sheetFormatPr defaultRowHeight="17" x14ac:dyDescent="0.45"/>
  <cols>
    <col min="1" max="1" width="2.58203125" customWidth="1"/>
  </cols>
  <sheetData>
    <row r="1" spans="2:6" ht="21" x14ac:dyDescent="0.45">
      <c r="B1" s="53" t="s">
        <v>131</v>
      </c>
      <c r="C1" s="53"/>
      <c r="D1" s="53"/>
      <c r="E1" s="53"/>
      <c r="F1" s="53"/>
    </row>
    <row r="3" spans="2:6" x14ac:dyDescent="0.45">
      <c r="B3" s="4" t="s">
        <v>132</v>
      </c>
      <c r="C3" s="4" t="s">
        <v>133</v>
      </c>
      <c r="D3" s="4" t="s">
        <v>134</v>
      </c>
      <c r="E3" s="4" t="s">
        <v>135</v>
      </c>
      <c r="F3" s="4" t="s">
        <v>20</v>
      </c>
    </row>
    <row r="4" spans="2:6" x14ac:dyDescent="0.45">
      <c r="B4" s="4" t="s">
        <v>8</v>
      </c>
      <c r="C4" s="4">
        <v>101</v>
      </c>
      <c r="D4" s="4">
        <v>106</v>
      </c>
      <c r="E4" s="4">
        <v>123</v>
      </c>
      <c r="F4" s="4">
        <f>SUM(C4:E4)</f>
        <v>330</v>
      </c>
    </row>
    <row r="5" spans="2:6" x14ac:dyDescent="0.45">
      <c r="B5" s="4" t="s">
        <v>136</v>
      </c>
      <c r="C5" s="4">
        <v>147</v>
      </c>
      <c r="D5" s="4">
        <v>128</v>
      </c>
      <c r="E5" s="4">
        <v>150</v>
      </c>
      <c r="F5" s="4">
        <f t="shared" ref="F5:F8" si="0">SUM(C5:E5)</f>
        <v>425</v>
      </c>
    </row>
    <row r="6" spans="2:6" x14ac:dyDescent="0.45">
      <c r="B6" s="4" t="s">
        <v>10</v>
      </c>
      <c r="C6" s="4">
        <v>46</v>
      </c>
      <c r="D6" s="4">
        <v>64</v>
      </c>
      <c r="E6" s="4">
        <v>77</v>
      </c>
      <c r="F6" s="4">
        <f t="shared" si="0"/>
        <v>187</v>
      </c>
    </row>
    <row r="7" spans="2:6" x14ac:dyDescent="0.45">
      <c r="B7" s="4" t="s">
        <v>137</v>
      </c>
      <c r="C7" s="4">
        <v>52</v>
      </c>
      <c r="D7" s="4">
        <v>39</v>
      </c>
      <c r="E7" s="4">
        <v>58</v>
      </c>
      <c r="F7" s="4">
        <f t="shared" si="0"/>
        <v>149</v>
      </c>
    </row>
    <row r="8" spans="2:6" x14ac:dyDescent="0.45">
      <c r="B8" s="4" t="s">
        <v>138</v>
      </c>
      <c r="C8" s="4">
        <v>59</v>
      </c>
      <c r="D8" s="4">
        <v>72</v>
      </c>
      <c r="E8" s="4">
        <v>86</v>
      </c>
      <c r="F8" s="4">
        <f t="shared" si="0"/>
        <v>217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지역</vt:lpstr>
      <vt:lpstr>총구매금액</vt:lpstr>
      <vt:lpstr>환율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2025-02-17T09:09:30Z</dcterms:modified>
</cp:coreProperties>
</file>