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5년 컴활2급 상시03\"/>
    </mc:Choice>
  </mc:AlternateContent>
  <xr:revisionPtr revIDLastSave="0" documentId="13_ncr:1_{18356338-5CE9-4AA5-8A53-002E3CE8EC1E}" xr6:coauthVersionLast="47" xr6:coauthVersionMax="47" xr10:uidLastSave="{00000000-0000-0000-0000-000000000000}"/>
  <bookViews>
    <workbookView xWindow="28680" yWindow="-120" windowWidth="29040" windowHeight="15720" activeTab="5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15" r:id="rId4"/>
    <sheet name="분석작업-1" sheetId="11" r:id="rId5"/>
    <sheet name="분석작업-2" sheetId="12" r:id="rId6"/>
    <sheet name="매크로작업" sheetId="13" r:id="rId7"/>
    <sheet name="차트작업" sheetId="14" r:id="rId8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열람권수">'기본작업-2'!$E$4:$E$10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1" l="1"/>
  <c r="F13" i="11"/>
  <c r="F8" i="11"/>
  <c r="F21" i="11" s="1"/>
  <c r="D20" i="11"/>
  <c r="C20" i="11"/>
  <c r="D14" i="11"/>
  <c r="C14" i="11"/>
  <c r="D9" i="11"/>
  <c r="D22" i="11" s="1"/>
  <c r="C9" i="11"/>
  <c r="C22" i="11" s="1"/>
  <c r="E33" i="15"/>
  <c r="H16" i="15"/>
  <c r="H17" i="15"/>
  <c r="H18" i="15"/>
  <c r="H19" i="15"/>
  <c r="H20" i="15"/>
  <c r="H21" i="15"/>
  <c r="H22" i="15"/>
  <c r="H15" i="15"/>
  <c r="C16" i="15"/>
  <c r="C17" i="15"/>
  <c r="C18" i="15"/>
  <c r="C19" i="15"/>
  <c r="C20" i="15"/>
  <c r="C21" i="15"/>
  <c r="C22" i="15"/>
  <c r="C15" i="15"/>
  <c r="K11" i="15"/>
  <c r="E4" i="15"/>
  <c r="E5" i="15"/>
  <c r="E6" i="15"/>
  <c r="E7" i="15"/>
  <c r="E8" i="15"/>
  <c r="E9" i="15"/>
  <c r="E10" i="15"/>
  <c r="E11" i="15"/>
  <c r="E3" i="15"/>
</calcChain>
</file>

<file path=xl/sharedStrings.xml><?xml version="1.0" encoding="utf-8"?>
<sst xmlns="http://schemas.openxmlformats.org/spreadsheetml/2006/main" count="270" uniqueCount="203">
  <si>
    <t>한국프로농구(KBL) 순위</t>
  </si>
  <si>
    <t>방문자수</t>
  </si>
  <si>
    <t>항공기 운영 현황</t>
  </si>
  <si>
    <t>국가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</si>
  <si>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</si>
  <si>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</si>
  <si>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</si>
  <si>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</si>
  <si>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</si>
  <si>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</si>
  <si>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</si>
  <si>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</si>
  <si>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</si>
  <si>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</si>
  <si>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</si>
  <si>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</si>
  <si>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</si>
  <si>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</si>
  <si>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</si>
  <si>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</si>
  <si>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</si>
  <si>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도서관명</t>
    <phoneticPr fontId="1" type="noConversion"/>
  </si>
  <si>
    <t>개관일</t>
    <phoneticPr fontId="1" type="noConversion"/>
  </si>
  <si>
    <t>장소</t>
    <phoneticPr fontId="1" type="noConversion"/>
  </si>
  <si>
    <t>장서수</t>
    <phoneticPr fontId="1" type="noConversion"/>
  </si>
  <si>
    <t>열람권수</t>
    <phoneticPr fontId="1" type="noConversion"/>
  </si>
  <si>
    <t>방문자수</t>
    <phoneticPr fontId="1" type="noConversion"/>
  </si>
  <si>
    <t>시립도서관</t>
    <phoneticPr fontId="1" type="noConversion"/>
  </si>
  <si>
    <t>서울 종로구</t>
    <phoneticPr fontId="1" type="noConversion"/>
  </si>
  <si>
    <t>서울도서관</t>
    <phoneticPr fontId="1" type="noConversion"/>
  </si>
  <si>
    <t>서울 중구</t>
    <phoneticPr fontId="1" type="noConversion"/>
  </si>
  <si>
    <t>어린이도서관</t>
    <phoneticPr fontId="1" type="noConversion"/>
  </si>
  <si>
    <t>서울 마포구</t>
    <phoneticPr fontId="1" type="noConversion"/>
  </si>
  <si>
    <t>스마트도서관</t>
    <phoneticPr fontId="1" type="noConversion"/>
  </si>
  <si>
    <t>서울 서초구</t>
    <phoneticPr fontId="1" type="noConversion"/>
  </si>
  <si>
    <t>정독도서관</t>
    <phoneticPr fontId="1" type="noConversion"/>
  </si>
  <si>
    <t>서울 노원구</t>
    <phoneticPr fontId="1" type="noConversion"/>
  </si>
  <si>
    <t>튼튼도서관</t>
    <phoneticPr fontId="1" type="noConversion"/>
  </si>
  <si>
    <t>서울 강남구</t>
    <phoneticPr fontId="1" type="noConversion"/>
  </si>
  <si>
    <t>어울림도서관</t>
    <phoneticPr fontId="1" type="noConversion"/>
  </si>
  <si>
    <t>서울 중랑구</t>
    <phoneticPr fontId="1" type="noConversion"/>
  </si>
  <si>
    <t>상공버거 일일 판매 현황</t>
  </si>
  <si>
    <t>메뉴</t>
  </si>
  <si>
    <t>구분</t>
  </si>
  <si>
    <t>중량</t>
  </si>
  <si>
    <t>열량</t>
  </si>
  <si>
    <t>가격</t>
  </si>
  <si>
    <t>판매량</t>
  </si>
  <si>
    <t>판매액</t>
  </si>
  <si>
    <t>새우버거</t>
  </si>
  <si>
    <t>단품</t>
  </si>
  <si>
    <t>불고기버거세트</t>
  </si>
  <si>
    <t>세트</t>
  </si>
  <si>
    <t>치즈스틱</t>
  </si>
  <si>
    <t>사이드</t>
  </si>
  <si>
    <t>치킨버거</t>
  </si>
  <si>
    <t>새우버거세트</t>
  </si>
  <si>
    <t>프렌치프라이</t>
  </si>
  <si>
    <t>치즈버거</t>
  </si>
  <si>
    <t>너켓킹</t>
  </si>
  <si>
    <t>치즈버거세트</t>
  </si>
  <si>
    <t>불고기버거</t>
  </si>
  <si>
    <t>치킨버거세트</t>
  </si>
  <si>
    <t>[표1]</t>
  </si>
  <si>
    <t>1월 입출고현황</t>
  </si>
  <si>
    <t>[표2]</t>
  </si>
  <si>
    <t>2월 입출고현황</t>
  </si>
  <si>
    <t>제품명</t>
  </si>
  <si>
    <t>입고량</t>
  </si>
  <si>
    <t>출고량</t>
  </si>
  <si>
    <t>재고량</t>
  </si>
  <si>
    <t>전동드릴</t>
  </si>
  <si>
    <t>고속절단기</t>
  </si>
  <si>
    <t>에어타카</t>
  </si>
  <si>
    <t>고압세척기</t>
  </si>
  <si>
    <t>[표3]</t>
  </si>
  <si>
    <t>3월 입출고현황</t>
  </si>
  <si>
    <t>[표4]</t>
  </si>
  <si>
    <t>1/4분기 입출고현황</t>
  </si>
  <si>
    <t>상공아파트 단지 정보</t>
  </si>
  <si>
    <t>전용면적</t>
  </si>
  <si>
    <t>공용면적</t>
  </si>
  <si>
    <t>공급면적</t>
  </si>
  <si>
    <t>59A</t>
  </si>
  <si>
    <t>59B</t>
  </si>
  <si>
    <t>84A</t>
  </si>
  <si>
    <t>84B</t>
  </si>
  <si>
    <t>109A</t>
  </si>
  <si>
    <t>109B</t>
  </si>
  <si>
    <t>상공산업 상반기 매출 현황</t>
  </si>
  <si>
    <t>월</t>
  </si>
  <si>
    <t>판매수량</t>
  </si>
  <si>
    <t>반품수량</t>
  </si>
  <si>
    <t>판매금액</t>
  </si>
  <si>
    <t>1월</t>
  </si>
  <si>
    <t>2월</t>
  </si>
  <si>
    <t>3월</t>
  </si>
  <si>
    <t>4월</t>
  </si>
  <si>
    <t>5월</t>
  </si>
  <si>
    <t>6월</t>
  </si>
  <si>
    <t>합계</t>
  </si>
  <si>
    <t>[표1]</t>
    <phoneticPr fontId="1" type="noConversion"/>
  </si>
  <si>
    <t>일기예보 현황</t>
    <phoneticPr fontId="1" type="noConversion"/>
  </si>
  <si>
    <t>[표2]</t>
    <phoneticPr fontId="1" type="noConversion"/>
  </si>
  <si>
    <t>과일 판매 현황</t>
  </si>
  <si>
    <t>날짜</t>
    <phoneticPr fontId="1" type="noConversion"/>
  </si>
  <si>
    <t>최저</t>
    <phoneticPr fontId="1" type="noConversion"/>
  </si>
  <si>
    <t>최고</t>
    <phoneticPr fontId="1" type="noConversion"/>
  </si>
  <si>
    <t>강수량</t>
    <phoneticPr fontId="1" type="noConversion"/>
  </si>
  <si>
    <t>나들이</t>
    <phoneticPr fontId="1" type="noConversion"/>
  </si>
  <si>
    <t>품명</t>
  </si>
  <si>
    <t>매입액</t>
  </si>
  <si>
    <t>손익</t>
  </si>
  <si>
    <t>딸기</t>
  </si>
  <si>
    <t>사과</t>
  </si>
  <si>
    <t>배</t>
  </si>
  <si>
    <t>바나나</t>
  </si>
  <si>
    <t>파인애플</t>
  </si>
  <si>
    <t>포도</t>
  </si>
  <si>
    <t>오렌지</t>
  </si>
  <si>
    <t>체리</t>
  </si>
  <si>
    <t>바나나를 제외한 평균 손익 이상인 손익의 합계</t>
  </si>
  <si>
    <t>[표3]</t>
    <phoneticPr fontId="1" type="noConversion"/>
  </si>
  <si>
    <t>사원별 실적 현황</t>
  </si>
  <si>
    <t>[표4]</t>
    <phoneticPr fontId="1" type="noConversion"/>
  </si>
  <si>
    <t>회원 관리 현황</t>
    <phoneticPr fontId="1" type="noConversion"/>
  </si>
  <si>
    <t>&lt;구분코드표&gt;</t>
    <phoneticPr fontId="1" type="noConversion"/>
  </si>
  <si>
    <t>사원코드</t>
  </si>
  <si>
    <t>평가</t>
  </si>
  <si>
    <t>이름</t>
    <phoneticPr fontId="1" type="noConversion"/>
  </si>
  <si>
    <t>생년월일</t>
    <phoneticPr fontId="1" type="noConversion"/>
  </si>
  <si>
    <t>구분</t>
    <phoneticPr fontId="1" type="noConversion"/>
  </si>
  <si>
    <t>회원코드</t>
    <phoneticPr fontId="1" type="noConversion"/>
  </si>
  <si>
    <t>코드</t>
    <phoneticPr fontId="1" type="noConversion"/>
  </si>
  <si>
    <t>SG-1245</t>
  </si>
  <si>
    <t>송윤진</t>
  </si>
  <si>
    <t>B1</t>
    <phoneticPr fontId="1" type="noConversion"/>
  </si>
  <si>
    <t>D1</t>
    <phoneticPr fontId="1" type="noConversion"/>
  </si>
  <si>
    <t>mas1</t>
    <phoneticPr fontId="1" type="noConversion"/>
  </si>
  <si>
    <t>SG-6782</t>
  </si>
  <si>
    <t>주시아</t>
    <phoneticPr fontId="1" type="noConversion"/>
  </si>
  <si>
    <t>A1</t>
    <phoneticPr fontId="1" type="noConversion"/>
  </si>
  <si>
    <t>D2</t>
    <phoneticPr fontId="1" type="noConversion"/>
  </si>
  <si>
    <t>mas2</t>
    <phoneticPr fontId="1" type="noConversion"/>
  </si>
  <si>
    <t>SG-2401</t>
  </si>
  <si>
    <t>강은찬</t>
  </si>
  <si>
    <t>C1</t>
    <phoneticPr fontId="1" type="noConversion"/>
  </si>
  <si>
    <t>fri1</t>
    <phoneticPr fontId="1" type="noConversion"/>
  </si>
  <si>
    <t>SG-3844</t>
  </si>
  <si>
    <t>전주린</t>
    <phoneticPr fontId="1" type="noConversion"/>
  </si>
  <si>
    <t>C2</t>
    <phoneticPr fontId="1" type="noConversion"/>
  </si>
  <si>
    <t>fri2</t>
    <phoneticPr fontId="1" type="noConversion"/>
  </si>
  <si>
    <t>SG-1059</t>
  </si>
  <si>
    <t>최세현</t>
  </si>
  <si>
    <t>man1</t>
    <phoneticPr fontId="1" type="noConversion"/>
  </si>
  <si>
    <t>SG-2574</t>
  </si>
  <si>
    <t>이대로</t>
    <phoneticPr fontId="1" type="noConversion"/>
  </si>
  <si>
    <t>B2</t>
    <phoneticPr fontId="1" type="noConversion"/>
  </si>
  <si>
    <t>man2</t>
    <phoneticPr fontId="1" type="noConversion"/>
  </si>
  <si>
    <t>SG-3322</t>
  </si>
  <si>
    <t>배상엽</t>
  </si>
  <si>
    <t>A2</t>
    <phoneticPr fontId="1" type="noConversion"/>
  </si>
  <si>
    <t>fam1</t>
    <phoneticPr fontId="1" type="noConversion"/>
  </si>
  <si>
    <t>SG-6091</t>
  </si>
  <si>
    <t>오남규</t>
    <phoneticPr fontId="1" type="noConversion"/>
  </si>
  <si>
    <t>fam2</t>
    <phoneticPr fontId="1" type="noConversion"/>
  </si>
  <si>
    <t>[표5]</t>
  </si>
  <si>
    <t>상공몰 판매현황</t>
  </si>
  <si>
    <t>카테고리</t>
  </si>
  <si>
    <t>상품명</t>
  </si>
  <si>
    <t>판매가</t>
  </si>
  <si>
    <t>총판매액</t>
  </si>
  <si>
    <t>채소</t>
  </si>
  <si>
    <t>양배추</t>
  </si>
  <si>
    <t>과일</t>
  </si>
  <si>
    <t>정육</t>
  </si>
  <si>
    <t>닭고기</t>
  </si>
  <si>
    <t>돼지고기</t>
  </si>
  <si>
    <t>&lt;조건&gt;</t>
  </si>
  <si>
    <t>감자</t>
  </si>
  <si>
    <t>과일 총판매액 합계</t>
  </si>
  <si>
    <r>
      <rPr>
        <b/>
        <sz val="15"/>
        <color theme="3"/>
        <rFont val="맑은 고딕"/>
        <family val="2"/>
      </rPr>
      <t>★</t>
    </r>
    <r>
      <rPr>
        <b/>
        <sz val="15"/>
        <color theme="3"/>
        <rFont val="맑은 고딕"/>
        <family val="2"/>
        <charset val="129"/>
        <scheme val="minor"/>
      </rPr>
      <t>서울시 도서관 현황 및 이용 실태★</t>
    </r>
    <phoneticPr fontId="1" type="noConversion"/>
  </si>
  <si>
    <t>운행여부</t>
    <phoneticPr fontId="1" type="noConversion"/>
  </si>
  <si>
    <t>&lt;&gt;일시폐쇄</t>
    <phoneticPr fontId="1" type="noConversion"/>
  </si>
  <si>
    <t>&gt;=100000</t>
    <phoneticPr fontId="1" type="noConversion"/>
  </si>
  <si>
    <t>카테고리</t>
    <phoneticPr fontId="1" type="noConversion"/>
  </si>
  <si>
    <t>과일</t>
    <phoneticPr fontId="1" type="noConversion"/>
  </si>
  <si>
    <t>단품 평균</t>
  </si>
  <si>
    <t>사이드 평균</t>
  </si>
  <si>
    <t>세트 평균</t>
  </si>
  <si>
    <t>전체 평균</t>
  </si>
  <si>
    <t>단품 최대</t>
  </si>
  <si>
    <t>사이드 최대</t>
  </si>
  <si>
    <t>세트 최대</t>
  </si>
  <si>
    <t>전체 최대값</t>
  </si>
  <si>
    <t>데이터 정렬-&gt;구분기준</t>
    <phoneticPr fontId="1" type="noConversion"/>
  </si>
  <si>
    <t>테이블 드래그-&gt;데이터 부분합-&gt; 구분을 기준으로</t>
    <phoneticPr fontId="1" type="noConversion"/>
  </si>
  <si>
    <t>표4 에서 빈칸들 드래그</t>
    <phoneticPr fontId="1" type="noConversion"/>
  </si>
  <si>
    <t>데이터-&gt;통합</t>
    <phoneticPr fontId="1" type="noConversion"/>
  </si>
  <si>
    <t>표1 내용물 드래그 -&gt; 추가</t>
    <phoneticPr fontId="1" type="noConversion"/>
  </si>
  <si>
    <t>표2 내용물 드래그 -&gt; 추가</t>
    <phoneticPr fontId="1" type="noConversion"/>
  </si>
  <si>
    <t>표3 내용물 드래그 -&gt; 추가</t>
    <phoneticPr fontId="1" type="noConversion"/>
  </si>
  <si>
    <t>확인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</si>
</sst>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8" formatCode="yyyy&quot;년&quot;\ mm&quot;월&quot;\ dd&quot;일&quot;\ aaaa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</font>
    <font>
      <b/>
      <sz val="15"/>
      <color theme="3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9" fillId="0" borderId="6" applyNumberFormat="0" applyFill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6" fontId="0" fillId="0" borderId="1" xfId="1" applyNumberFormat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6" fillId="0" borderId="0" xfId="2" applyFont="1">
      <alignment vertical="center"/>
    </xf>
    <xf numFmtId="0" fontId="8" fillId="0" borderId="0" xfId="2" applyFont="1">
      <alignment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0" borderId="6" xfId="3" applyAlignment="1">
      <alignment horizontal="center" vertical="center"/>
    </xf>
    <xf numFmtId="0" fontId="12" fillId="0" borderId="6" xfId="3" applyFont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1" fontId="0" fillId="0" borderId="11" xfId="1" applyFont="1" applyBorder="1">
      <alignment vertical="center"/>
    </xf>
    <xf numFmtId="0" fontId="0" fillId="0" borderId="12" xfId="0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0" fillId="0" borderId="13" xfId="1" applyFont="1" applyBorder="1">
      <alignment vertical="center"/>
    </xf>
    <xf numFmtId="41" fontId="0" fillId="0" borderId="14" xfId="1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</cellXfs>
  <cellStyles count="4">
    <cellStyle name="쉼표 [0]" xfId="1" builtinId="6"/>
    <cellStyle name="제목 1" xfId="3" builtinId="16"/>
    <cellStyle name="표준" xfId="0" builtinId="0"/>
    <cellStyle name="표준 2 2" xfId="2" xr:uid="{827233A0-217D-4CDB-9C0C-F8B78C805C3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차트작업!$B$4:$B$10</c:f>
              <c:numCache>
                <c:formatCode>#,##0_ </c:formatCode>
                <c:ptCount val="7"/>
                <c:pt idx="0">
                  <c:v>3957</c:v>
                </c:pt>
                <c:pt idx="1">
                  <c:v>5602</c:v>
                </c:pt>
                <c:pt idx="2">
                  <c:v>5133</c:v>
                </c:pt>
                <c:pt idx="3">
                  <c:v>4320</c:v>
                </c:pt>
                <c:pt idx="4">
                  <c:v>6584</c:v>
                </c:pt>
                <c:pt idx="5">
                  <c:v>5869</c:v>
                </c:pt>
                <c:pt idx="6">
                  <c:v>31465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7-4398-9BF3-ADCFCC55DC99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반품수량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차트작업!$C$4:$C$10</c:f>
              <c:numCache>
                <c:formatCode>#,##0_ </c:formatCode>
                <c:ptCount val="7"/>
                <c:pt idx="0">
                  <c:v>34</c:v>
                </c:pt>
                <c:pt idx="1">
                  <c:v>51</c:v>
                </c:pt>
                <c:pt idx="2">
                  <c:v>22</c:v>
                </c:pt>
                <c:pt idx="3">
                  <c:v>46</c:v>
                </c:pt>
                <c:pt idx="4">
                  <c:v>63</c:v>
                </c:pt>
                <c:pt idx="5">
                  <c:v>49</c:v>
                </c:pt>
                <c:pt idx="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47-4398-9BF3-ADCFCC55DC99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차트작업!$D$4:$D$10</c:f>
              <c:numCache>
                <c:formatCode>#,##0_ </c:formatCode>
                <c:ptCount val="7"/>
                <c:pt idx="0">
                  <c:v>49462500</c:v>
                </c:pt>
                <c:pt idx="1">
                  <c:v>70025000</c:v>
                </c:pt>
                <c:pt idx="2">
                  <c:v>64162500</c:v>
                </c:pt>
                <c:pt idx="3">
                  <c:v>54000000</c:v>
                </c:pt>
                <c:pt idx="4">
                  <c:v>82300000</c:v>
                </c:pt>
                <c:pt idx="5">
                  <c:v>73362500</c:v>
                </c:pt>
                <c:pt idx="6">
                  <c:v>393312500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47-4398-9BF3-ADCFCC55D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9174975"/>
        <c:axId val="1809415743"/>
      </c:barChart>
      <c:catAx>
        <c:axId val="170917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9415743"/>
        <c:crosses val="autoZero"/>
        <c:auto val="1"/>
        <c:lblAlgn val="ctr"/>
        <c:lblOffset val="100"/>
        <c:noMultiLvlLbl val="0"/>
      </c:catAx>
      <c:valAx>
        <c:axId val="1809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917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11</xdr:col>
      <xdr:colOff>334538</xdr:colOff>
      <xdr:row>53</xdr:row>
      <xdr:rowOff>200843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8D0F4DB-35FD-A885-31E8-6F381625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95925"/>
          <a:ext cx="8335538" cy="5858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21</xdr:row>
      <xdr:rowOff>0</xdr:rowOff>
    </xdr:from>
    <xdr:to>
      <xdr:col>13</xdr:col>
      <xdr:colOff>391757</xdr:colOff>
      <xdr:row>27</xdr:row>
      <xdr:rowOff>175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C95DE10-AC95-DF7F-EE14-B58163E3F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4400550"/>
          <a:ext cx="8830907" cy="1257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8E2D1D1-6909-44B3-82B4-792109747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10"/>
  <sheetViews>
    <sheetView workbookViewId="0"/>
  </sheetViews>
  <sheetFormatPr defaultRowHeight="16.5" x14ac:dyDescent="0.3"/>
  <cols>
    <col min="1" max="1" width="9" bestFit="1" customWidth="1"/>
  </cols>
  <sheetData>
    <row r="1" spans="1:5" x14ac:dyDescent="0.3">
      <c r="A1" t="s">
        <v>0</v>
      </c>
    </row>
    <row r="3" spans="1:5" x14ac:dyDescent="0.3">
      <c r="A3" s="1"/>
      <c r="B3" s="1"/>
      <c r="C3" s="1"/>
      <c r="D3" s="1"/>
      <c r="E3" s="1"/>
    </row>
    <row r="4" spans="1:5" x14ac:dyDescent="0.3">
      <c r="A4" s="1"/>
      <c r="B4" s="1"/>
      <c r="C4" s="1"/>
      <c r="D4" s="1"/>
      <c r="E4" s="1"/>
    </row>
    <row r="5" spans="1:5" x14ac:dyDescent="0.3">
      <c r="A5" s="1"/>
      <c r="B5" s="1"/>
      <c r="C5" s="1"/>
      <c r="D5" s="1"/>
      <c r="E5" s="1"/>
    </row>
    <row r="6" spans="1:5" x14ac:dyDescent="0.3">
      <c r="A6" s="1"/>
      <c r="B6" s="1"/>
      <c r="C6" s="1"/>
      <c r="D6" s="1"/>
      <c r="E6" s="1"/>
    </row>
    <row r="7" spans="1:5" x14ac:dyDescent="0.3">
      <c r="A7" s="1"/>
      <c r="B7" s="1"/>
      <c r="C7" s="1"/>
      <c r="D7" s="1"/>
      <c r="E7" s="1"/>
    </row>
    <row r="8" spans="1:5" x14ac:dyDescent="0.3">
      <c r="A8" s="1"/>
      <c r="B8" s="1"/>
      <c r="C8" s="1"/>
      <c r="D8" s="1"/>
      <c r="E8" s="1"/>
    </row>
    <row r="9" spans="1:5" x14ac:dyDescent="0.3">
      <c r="A9" s="1"/>
      <c r="B9" s="1"/>
      <c r="C9" s="1"/>
      <c r="D9" s="1"/>
      <c r="E9" s="1"/>
    </row>
    <row r="10" spans="1:5" x14ac:dyDescent="0.3">
      <c r="A10" s="1"/>
      <c r="B10" s="1"/>
      <c r="C10" s="1"/>
      <c r="D10" s="1"/>
      <c r="E1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5440B-2884-4B71-8BBB-C0AD4600FCA6}">
  <dimension ref="A1:F10"/>
  <sheetViews>
    <sheetView workbookViewId="0">
      <selection activeCell="J21" sqref="J21"/>
    </sheetView>
  </sheetViews>
  <sheetFormatPr defaultRowHeight="16.5" x14ac:dyDescent="0.3"/>
  <cols>
    <col min="1" max="1" width="12.375" bestFit="1" customWidth="1"/>
    <col min="2" max="2" width="23.625" customWidth="1"/>
    <col min="3" max="3" width="11.125" bestFit="1" customWidth="1"/>
    <col min="6" max="6" width="9.375" bestFit="1" customWidth="1"/>
  </cols>
  <sheetData>
    <row r="1" spans="1:6" ht="27.95" customHeight="1" thickBot="1" x14ac:dyDescent="0.35">
      <c r="A1" s="19" t="s">
        <v>181</v>
      </c>
      <c r="B1" s="18"/>
      <c r="C1" s="18"/>
      <c r="D1" s="18"/>
      <c r="E1" s="18"/>
      <c r="F1" s="18"/>
    </row>
    <row r="2" spans="1:6" ht="18" thickTop="1" thickBot="1" x14ac:dyDescent="0.35"/>
    <row r="3" spans="1:6" x14ac:dyDescent="0.3">
      <c r="A3" s="22" t="s">
        <v>21</v>
      </c>
      <c r="B3" s="23" t="s">
        <v>22</v>
      </c>
      <c r="C3" s="23" t="s">
        <v>23</v>
      </c>
      <c r="D3" s="23" t="s">
        <v>24</v>
      </c>
      <c r="E3" s="23" t="s">
        <v>25</v>
      </c>
      <c r="F3" s="24" t="s">
        <v>26</v>
      </c>
    </row>
    <row r="4" spans="1:6" x14ac:dyDescent="0.3">
      <c r="A4" s="25" t="s">
        <v>27</v>
      </c>
      <c r="B4" s="20">
        <v>36923</v>
      </c>
      <c r="C4" s="2" t="s">
        <v>28</v>
      </c>
      <c r="D4" s="21">
        <v>57381</v>
      </c>
      <c r="E4" s="2">
        <v>1.65</v>
      </c>
      <c r="F4" s="26">
        <v>524587</v>
      </c>
    </row>
    <row r="5" spans="1:6" x14ac:dyDescent="0.3">
      <c r="A5" s="25" t="s">
        <v>29</v>
      </c>
      <c r="B5" s="20">
        <v>34977</v>
      </c>
      <c r="C5" s="2" t="s">
        <v>30</v>
      </c>
      <c r="D5" s="21">
        <v>63149</v>
      </c>
      <c r="E5" s="2">
        <v>0.92</v>
      </c>
      <c r="F5" s="26">
        <v>468014</v>
      </c>
    </row>
    <row r="6" spans="1:6" x14ac:dyDescent="0.3">
      <c r="A6" s="25" t="s">
        <v>31</v>
      </c>
      <c r="B6" s="20">
        <v>35919</v>
      </c>
      <c r="C6" s="2" t="s">
        <v>32</v>
      </c>
      <c r="D6" s="21">
        <v>43682</v>
      </c>
      <c r="E6" s="2">
        <v>1.18</v>
      </c>
      <c r="F6" s="26">
        <v>738992</v>
      </c>
    </row>
    <row r="7" spans="1:6" x14ac:dyDescent="0.3">
      <c r="A7" s="25" t="s">
        <v>33</v>
      </c>
      <c r="B7" s="20">
        <v>41376</v>
      </c>
      <c r="C7" s="2" t="s">
        <v>34</v>
      </c>
      <c r="D7" s="21">
        <v>50075</v>
      </c>
      <c r="E7" s="2">
        <v>1.27</v>
      </c>
      <c r="F7" s="26">
        <v>506347</v>
      </c>
    </row>
    <row r="8" spans="1:6" x14ac:dyDescent="0.3">
      <c r="A8" s="25" t="s">
        <v>35</v>
      </c>
      <c r="B8" s="20">
        <v>38598</v>
      </c>
      <c r="C8" s="2" t="s">
        <v>36</v>
      </c>
      <c r="D8" s="21">
        <v>43908</v>
      </c>
      <c r="E8" s="2">
        <v>1.52</v>
      </c>
      <c r="F8" s="26">
        <v>313363</v>
      </c>
    </row>
    <row r="9" spans="1:6" x14ac:dyDescent="0.3">
      <c r="A9" s="25" t="s">
        <v>37</v>
      </c>
      <c r="B9" s="20">
        <v>39619</v>
      </c>
      <c r="C9" s="2" t="s">
        <v>38</v>
      </c>
      <c r="D9" s="21">
        <v>49381</v>
      </c>
      <c r="E9" s="2">
        <v>1.49</v>
      </c>
      <c r="F9" s="26">
        <v>638245</v>
      </c>
    </row>
    <row r="10" spans="1:6" ht="17.25" thickBot="1" x14ac:dyDescent="0.35">
      <c r="A10" s="27" t="s">
        <v>39</v>
      </c>
      <c r="B10" s="28">
        <v>37956</v>
      </c>
      <c r="C10" s="29" t="s">
        <v>40</v>
      </c>
      <c r="D10" s="30">
        <v>56317</v>
      </c>
      <c r="E10" s="29">
        <v>1.28</v>
      </c>
      <c r="F10" s="31">
        <v>525397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EF459-B892-4F52-A626-72EC285DDB5C}">
  <dimension ref="A1:F26"/>
  <sheetViews>
    <sheetView workbookViewId="0">
      <selection activeCell="K18" sqref="K18"/>
    </sheetView>
  </sheetViews>
  <sheetFormatPr defaultRowHeight="16.5" x14ac:dyDescent="0.3"/>
  <cols>
    <col min="1" max="1" width="11.875" customWidth="1"/>
    <col min="2" max="2" width="10.625" customWidth="1"/>
    <col min="3" max="5" width="11.625" bestFit="1" customWidth="1"/>
  </cols>
  <sheetData>
    <row r="1" spans="1:6" ht="20.25" x14ac:dyDescent="0.3">
      <c r="A1" s="13" t="s">
        <v>2</v>
      </c>
      <c r="B1" s="13"/>
      <c r="C1" s="13"/>
      <c r="D1" s="13"/>
      <c r="E1" s="13"/>
      <c r="F1" s="13"/>
    </row>
    <row r="3" spans="1:6" x14ac:dyDescent="0.3">
      <c r="A3" s="2" t="s">
        <v>3</v>
      </c>
      <c r="B3" s="2" t="s">
        <v>1</v>
      </c>
      <c r="C3" s="2" t="s">
        <v>4</v>
      </c>
      <c r="D3" s="2" t="s">
        <v>5</v>
      </c>
      <c r="E3" s="2" t="s">
        <v>6</v>
      </c>
      <c r="F3" s="2" t="s">
        <v>182</v>
      </c>
    </row>
    <row r="4" spans="1:6" x14ac:dyDescent="0.3">
      <c r="A4" s="2" t="s">
        <v>8</v>
      </c>
      <c r="B4" s="3">
        <v>135211</v>
      </c>
      <c r="C4" s="3">
        <v>18240000</v>
      </c>
      <c r="D4" s="3">
        <v>77070000</v>
      </c>
      <c r="E4" s="3">
        <v>12330000</v>
      </c>
      <c r="F4" s="2"/>
    </row>
    <row r="5" spans="1:6" x14ac:dyDescent="0.3">
      <c r="A5" s="2" t="s">
        <v>9</v>
      </c>
      <c r="B5" s="3">
        <v>96854</v>
      </c>
      <c r="C5" s="3">
        <v>9240000</v>
      </c>
      <c r="D5" s="3">
        <v>55210000</v>
      </c>
      <c r="E5" s="3">
        <v>8830000</v>
      </c>
      <c r="F5" s="2"/>
    </row>
    <row r="6" spans="1:6" x14ac:dyDescent="0.3">
      <c r="A6" s="2" t="s">
        <v>10</v>
      </c>
      <c r="B6" s="3">
        <v>112547</v>
      </c>
      <c r="C6" s="3">
        <v>14400000</v>
      </c>
      <c r="D6" s="3">
        <v>64150000</v>
      </c>
      <c r="E6" s="3">
        <v>10260000</v>
      </c>
      <c r="F6" s="2" t="s">
        <v>11</v>
      </c>
    </row>
    <row r="7" spans="1:6" x14ac:dyDescent="0.3">
      <c r="A7" s="2" t="s">
        <v>12</v>
      </c>
      <c r="B7" s="3">
        <v>88614</v>
      </c>
      <c r="C7" s="3">
        <v>8710000</v>
      </c>
      <c r="D7" s="3">
        <v>50510000</v>
      </c>
      <c r="E7" s="3">
        <v>8080000</v>
      </c>
      <c r="F7" s="2"/>
    </row>
    <row r="8" spans="1:6" x14ac:dyDescent="0.3">
      <c r="A8" s="2" t="s">
        <v>13</v>
      </c>
      <c r="B8" s="3">
        <v>76200</v>
      </c>
      <c r="C8" s="3">
        <v>6250000</v>
      </c>
      <c r="D8" s="3">
        <v>43430000</v>
      </c>
      <c r="E8" s="3">
        <v>6950000</v>
      </c>
      <c r="F8" s="2"/>
    </row>
    <row r="9" spans="1:6" x14ac:dyDescent="0.3">
      <c r="A9" s="2" t="s">
        <v>14</v>
      </c>
      <c r="B9" s="3">
        <v>96726</v>
      </c>
      <c r="C9" s="3">
        <v>10950000</v>
      </c>
      <c r="D9" s="3">
        <v>55130000</v>
      </c>
      <c r="E9" s="3">
        <v>8820000</v>
      </c>
      <c r="F9" s="2" t="s">
        <v>11</v>
      </c>
    </row>
    <row r="10" spans="1:6" x14ac:dyDescent="0.3">
      <c r="A10" s="2" t="s">
        <v>15</v>
      </c>
      <c r="B10" s="3">
        <v>83671</v>
      </c>
      <c r="C10" s="3">
        <v>9120000</v>
      </c>
      <c r="D10" s="3">
        <v>47690000</v>
      </c>
      <c r="E10" s="3">
        <v>7630000</v>
      </c>
      <c r="F10" s="2"/>
    </row>
    <row r="11" spans="1:6" x14ac:dyDescent="0.3">
      <c r="A11" s="2" t="s">
        <v>16</v>
      </c>
      <c r="B11" s="3">
        <v>154789</v>
      </c>
      <c r="C11" s="3">
        <v>16400000</v>
      </c>
      <c r="D11" s="3">
        <v>88230000</v>
      </c>
      <c r="E11" s="3">
        <v>14120000</v>
      </c>
      <c r="F11" s="2"/>
    </row>
    <row r="12" spans="1:6" x14ac:dyDescent="0.3">
      <c r="A12" s="2" t="s">
        <v>17</v>
      </c>
      <c r="B12" s="3">
        <v>160643</v>
      </c>
      <c r="C12" s="3">
        <v>17620000</v>
      </c>
      <c r="D12" s="3">
        <v>91570000</v>
      </c>
      <c r="E12" s="3">
        <v>14650000</v>
      </c>
      <c r="F12" s="2" t="s">
        <v>11</v>
      </c>
    </row>
    <row r="13" spans="1:6" x14ac:dyDescent="0.3">
      <c r="A13" s="2" t="s">
        <v>18</v>
      </c>
      <c r="B13" s="3">
        <v>126755</v>
      </c>
      <c r="C13" s="3">
        <v>16840000</v>
      </c>
      <c r="D13" s="3">
        <v>72250000</v>
      </c>
      <c r="E13" s="3">
        <v>11560000</v>
      </c>
      <c r="F13" s="2"/>
    </row>
    <row r="14" spans="1:6" x14ac:dyDescent="0.3">
      <c r="A14" s="2" t="s">
        <v>19</v>
      </c>
      <c r="B14" s="3">
        <v>76925</v>
      </c>
      <c r="C14" s="3">
        <v>9600000</v>
      </c>
      <c r="D14" s="3">
        <v>43850000</v>
      </c>
      <c r="E14" s="3">
        <v>7020000</v>
      </c>
      <c r="F14" s="2" t="s">
        <v>11</v>
      </c>
    </row>
    <row r="15" spans="1:6" x14ac:dyDescent="0.3">
      <c r="A15" s="2" t="s">
        <v>20</v>
      </c>
      <c r="B15" s="3">
        <v>139574</v>
      </c>
      <c r="C15" s="3">
        <v>16520000</v>
      </c>
      <c r="D15" s="3">
        <v>79560000</v>
      </c>
      <c r="E15" s="3">
        <v>12730000</v>
      </c>
      <c r="F15" s="2"/>
    </row>
    <row r="18" spans="1:6" x14ac:dyDescent="0.3">
      <c r="A18" s="1" t="s">
        <v>7</v>
      </c>
      <c r="B18" s="1" t="s">
        <v>26</v>
      </c>
    </row>
    <row r="19" spans="1:6" x14ac:dyDescent="0.3">
      <c r="A19" s="1" t="s">
        <v>183</v>
      </c>
      <c r="B19" s="1" t="s">
        <v>184</v>
      </c>
    </row>
    <row r="22" spans="1:6" x14ac:dyDescent="0.3">
      <c r="A22" s="2" t="s">
        <v>3</v>
      </c>
      <c r="B22" s="2" t="s">
        <v>1</v>
      </c>
      <c r="C22" s="2" t="s">
        <v>4</v>
      </c>
      <c r="D22" s="2" t="s">
        <v>5</v>
      </c>
      <c r="E22" s="2" t="s">
        <v>6</v>
      </c>
      <c r="F22" s="2" t="s">
        <v>182</v>
      </c>
    </row>
    <row r="23" spans="1:6" x14ac:dyDescent="0.3">
      <c r="A23" s="2" t="s">
        <v>8</v>
      </c>
      <c r="B23" s="3">
        <v>135211</v>
      </c>
      <c r="C23" s="3">
        <v>18240000</v>
      </c>
      <c r="D23" s="3">
        <v>77070000</v>
      </c>
      <c r="E23" s="3">
        <v>12330000</v>
      </c>
      <c r="F23" s="2"/>
    </row>
    <row r="24" spans="1:6" x14ac:dyDescent="0.3">
      <c r="A24" s="2" t="s">
        <v>16</v>
      </c>
      <c r="B24" s="3">
        <v>154789</v>
      </c>
      <c r="C24" s="3">
        <v>16400000</v>
      </c>
      <c r="D24" s="3">
        <v>88230000</v>
      </c>
      <c r="E24" s="3">
        <v>14120000</v>
      </c>
      <c r="F24" s="2"/>
    </row>
    <row r="25" spans="1:6" x14ac:dyDescent="0.3">
      <c r="A25" s="2" t="s">
        <v>18</v>
      </c>
      <c r="B25" s="3">
        <v>126755</v>
      </c>
      <c r="C25" s="3">
        <v>16840000</v>
      </c>
      <c r="D25" s="3">
        <v>72250000</v>
      </c>
      <c r="E25" s="3">
        <v>11560000</v>
      </c>
      <c r="F25" s="2"/>
    </row>
    <row r="26" spans="1:6" x14ac:dyDescent="0.3">
      <c r="A26" s="2" t="s">
        <v>20</v>
      </c>
      <c r="B26" s="3">
        <v>139574</v>
      </c>
      <c r="C26" s="3">
        <v>16520000</v>
      </c>
      <c r="D26" s="3">
        <v>79560000</v>
      </c>
      <c r="E26" s="3">
        <v>12730000</v>
      </c>
      <c r="F26" s="2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A8CBA-0551-4DDC-A2DD-D3B5E61830B1}">
  <dimension ref="A1:K33"/>
  <sheetViews>
    <sheetView topLeftCell="A4" workbookViewId="0">
      <selection activeCell="J30" sqref="J30"/>
    </sheetView>
  </sheetViews>
  <sheetFormatPr defaultRowHeight="16.5" x14ac:dyDescent="0.3"/>
  <cols>
    <col min="1" max="1" width="10.75" bestFit="1" customWidth="1"/>
    <col min="2" max="3" width="8.625" customWidth="1"/>
    <col min="5" max="5" width="10.875" bestFit="1" customWidth="1"/>
    <col min="6" max="6" width="10.75" bestFit="1" customWidth="1"/>
    <col min="8" max="11" width="10.625" customWidth="1"/>
  </cols>
  <sheetData>
    <row r="1" spans="1:11" x14ac:dyDescent="0.3">
      <c r="A1" s="4" t="s">
        <v>101</v>
      </c>
      <c r="B1" s="5" t="s">
        <v>102</v>
      </c>
      <c r="G1" s="4" t="s">
        <v>103</v>
      </c>
      <c r="H1" s="5" t="s">
        <v>104</v>
      </c>
    </row>
    <row r="2" spans="1:11" x14ac:dyDescent="0.3">
      <c r="A2" s="2" t="s">
        <v>105</v>
      </c>
      <c r="B2" s="2" t="s">
        <v>106</v>
      </c>
      <c r="C2" s="2" t="s">
        <v>107</v>
      </c>
      <c r="D2" s="2" t="s">
        <v>108</v>
      </c>
      <c r="E2" s="8" t="s">
        <v>109</v>
      </c>
      <c r="G2" s="2" t="s">
        <v>110</v>
      </c>
      <c r="H2" s="2" t="s">
        <v>111</v>
      </c>
      <c r="I2" s="2" t="s">
        <v>48</v>
      </c>
      <c r="J2" s="2" t="s">
        <v>70</v>
      </c>
      <c r="K2" s="2" t="s">
        <v>112</v>
      </c>
    </row>
    <row r="3" spans="1:11" x14ac:dyDescent="0.3">
      <c r="A3" s="9">
        <v>45752</v>
      </c>
      <c r="B3" s="2">
        <v>12</v>
      </c>
      <c r="C3" s="2">
        <v>17</v>
      </c>
      <c r="D3" s="2">
        <v>0</v>
      </c>
      <c r="E3" s="2" t="str">
        <f>IF(AND(WEEKDAY(A3)=1,D3=0),"적합","")</f>
        <v/>
      </c>
      <c r="G3" s="2" t="s">
        <v>113</v>
      </c>
      <c r="H3" s="10">
        <v>900000</v>
      </c>
      <c r="I3" s="10">
        <v>1150000</v>
      </c>
      <c r="J3" s="10">
        <v>19</v>
      </c>
      <c r="K3" s="10">
        <v>250000</v>
      </c>
    </row>
    <row r="4" spans="1:11" x14ac:dyDescent="0.3">
      <c r="A4" s="9">
        <v>45753</v>
      </c>
      <c r="B4" s="2">
        <v>8</v>
      </c>
      <c r="C4" s="2">
        <v>14</v>
      </c>
      <c r="D4" s="2">
        <v>5</v>
      </c>
      <c r="E4" s="2" t="str">
        <f t="shared" ref="E4:E11" si="0">IF(AND(WEEKDAY(A4)=1,D4=0),"적합","")</f>
        <v/>
      </c>
      <c r="G4" s="2" t="s">
        <v>114</v>
      </c>
      <c r="H4" s="10">
        <v>1500000</v>
      </c>
      <c r="I4" s="10">
        <v>1370000</v>
      </c>
      <c r="J4" s="10">
        <v>61</v>
      </c>
      <c r="K4" s="10">
        <v>-130000</v>
      </c>
    </row>
    <row r="5" spans="1:11" x14ac:dyDescent="0.3">
      <c r="A5" s="9">
        <v>45754</v>
      </c>
      <c r="B5" s="2">
        <v>4</v>
      </c>
      <c r="C5" s="2">
        <v>12</v>
      </c>
      <c r="D5" s="2">
        <v>15</v>
      </c>
      <c r="E5" s="2" t="str">
        <f t="shared" si="0"/>
        <v/>
      </c>
      <c r="G5" s="2" t="s">
        <v>115</v>
      </c>
      <c r="H5" s="10">
        <v>800000</v>
      </c>
      <c r="I5" s="10">
        <v>860000</v>
      </c>
      <c r="J5" s="10">
        <v>32</v>
      </c>
      <c r="K5" s="10">
        <v>60000</v>
      </c>
    </row>
    <row r="6" spans="1:11" x14ac:dyDescent="0.3">
      <c r="A6" s="9">
        <v>45759</v>
      </c>
      <c r="B6" s="2">
        <v>9</v>
      </c>
      <c r="C6" s="2">
        <v>17</v>
      </c>
      <c r="D6" s="2">
        <v>10</v>
      </c>
      <c r="E6" s="2" t="str">
        <f t="shared" si="0"/>
        <v/>
      </c>
      <c r="G6" s="2" t="s">
        <v>116</v>
      </c>
      <c r="H6" s="10">
        <v>1200000</v>
      </c>
      <c r="I6" s="10">
        <v>1520000</v>
      </c>
      <c r="J6" s="10">
        <v>9</v>
      </c>
      <c r="K6" s="10">
        <v>320000</v>
      </c>
    </row>
    <row r="7" spans="1:11" x14ac:dyDescent="0.3">
      <c r="A7" s="9">
        <v>45760</v>
      </c>
      <c r="B7" s="2">
        <v>10</v>
      </c>
      <c r="C7" s="2">
        <v>18</v>
      </c>
      <c r="D7" s="2">
        <v>0</v>
      </c>
      <c r="E7" s="2" t="str">
        <f t="shared" si="0"/>
        <v>적합</v>
      </c>
      <c r="G7" s="2" t="s">
        <v>117</v>
      </c>
      <c r="H7" s="10">
        <v>500000</v>
      </c>
      <c r="I7" s="10">
        <v>402000</v>
      </c>
      <c r="J7" s="10">
        <v>56</v>
      </c>
      <c r="K7" s="10">
        <v>-98000</v>
      </c>
    </row>
    <row r="8" spans="1:11" x14ac:dyDescent="0.3">
      <c r="A8" s="9">
        <v>45761</v>
      </c>
      <c r="B8" s="2">
        <v>9</v>
      </c>
      <c r="C8" s="2">
        <v>16</v>
      </c>
      <c r="D8" s="2">
        <v>0</v>
      </c>
      <c r="E8" s="2" t="str">
        <f t="shared" si="0"/>
        <v/>
      </c>
      <c r="G8" s="2" t="s">
        <v>118</v>
      </c>
      <c r="H8" s="10">
        <v>1300000</v>
      </c>
      <c r="I8" s="10">
        <v>1560000</v>
      </c>
      <c r="J8" s="10">
        <v>11</v>
      </c>
      <c r="K8" s="10">
        <v>260000</v>
      </c>
    </row>
    <row r="9" spans="1:11" x14ac:dyDescent="0.3">
      <c r="A9" s="9">
        <v>45766</v>
      </c>
      <c r="B9" s="2">
        <v>8</v>
      </c>
      <c r="C9" s="2">
        <v>17</v>
      </c>
      <c r="D9" s="2">
        <v>20</v>
      </c>
      <c r="E9" s="2" t="str">
        <f t="shared" si="0"/>
        <v/>
      </c>
      <c r="G9" s="2" t="s">
        <v>119</v>
      </c>
      <c r="H9" s="10">
        <v>1600000</v>
      </c>
      <c r="I9" s="10">
        <v>1930000</v>
      </c>
      <c r="J9" s="10">
        <v>7</v>
      </c>
      <c r="K9" s="10">
        <v>330000</v>
      </c>
    </row>
    <row r="10" spans="1:11" x14ac:dyDescent="0.3">
      <c r="A10" s="9">
        <v>45767</v>
      </c>
      <c r="B10" s="2">
        <v>12</v>
      </c>
      <c r="C10" s="2">
        <v>25</v>
      </c>
      <c r="D10" s="2">
        <v>0</v>
      </c>
      <c r="E10" s="2" t="str">
        <f t="shared" si="0"/>
        <v>적합</v>
      </c>
      <c r="G10" s="2" t="s">
        <v>120</v>
      </c>
      <c r="H10" s="10">
        <v>700000</v>
      </c>
      <c r="I10" s="10">
        <v>930000</v>
      </c>
      <c r="J10" s="10">
        <v>13</v>
      </c>
      <c r="K10" s="10">
        <v>230000</v>
      </c>
    </row>
    <row r="11" spans="1:11" x14ac:dyDescent="0.3">
      <c r="A11" s="9">
        <v>45768</v>
      </c>
      <c r="B11" s="2">
        <v>11</v>
      </c>
      <c r="C11" s="2">
        <v>24</v>
      </c>
      <c r="D11" s="2">
        <v>0</v>
      </c>
      <c r="E11" s="2" t="str">
        <f t="shared" si="0"/>
        <v/>
      </c>
      <c r="G11" s="14" t="s">
        <v>121</v>
      </c>
      <c r="H11" s="15"/>
      <c r="I11" s="15"/>
      <c r="J11" s="16"/>
      <c r="K11" s="10">
        <f>SUMIFS(K3:K10,G3:G10,"&lt;&gt;바나나",K3:K10,"&gt;="&amp;AVERAGE(K3:K10))</f>
        <v>1070000</v>
      </c>
    </row>
    <row r="13" spans="1:11" x14ac:dyDescent="0.3">
      <c r="A13" s="6" t="s">
        <v>122</v>
      </c>
      <c r="B13" s="5" t="s">
        <v>123</v>
      </c>
      <c r="E13" s="11" t="s">
        <v>124</v>
      </c>
      <c r="F13" s="12" t="s">
        <v>125</v>
      </c>
      <c r="J13" s="17" t="s">
        <v>126</v>
      </c>
      <c r="K13" s="17"/>
    </row>
    <row r="14" spans="1:11" x14ac:dyDescent="0.3">
      <c r="A14" s="2" t="s">
        <v>127</v>
      </c>
      <c r="B14" s="2" t="s">
        <v>47</v>
      </c>
      <c r="C14" s="8" t="s">
        <v>128</v>
      </c>
      <c r="E14" s="2" t="s">
        <v>129</v>
      </c>
      <c r="F14" s="2" t="s">
        <v>130</v>
      </c>
      <c r="G14" s="2" t="s">
        <v>131</v>
      </c>
      <c r="H14" s="8" t="s">
        <v>132</v>
      </c>
      <c r="J14" s="2" t="s">
        <v>131</v>
      </c>
      <c r="K14" s="2" t="s">
        <v>133</v>
      </c>
    </row>
    <row r="15" spans="1:11" x14ac:dyDescent="0.3">
      <c r="A15" s="2" t="s">
        <v>134</v>
      </c>
      <c r="B15" s="3">
        <v>1253</v>
      </c>
      <c r="C15" s="2" t="str">
        <f>CHOOSE(_xlfn.RANK.EQ(B15,$B$15:$B$22),"우수","우수","","","","","노력","노력")</f>
        <v>노력</v>
      </c>
      <c r="E15" s="2" t="s">
        <v>135</v>
      </c>
      <c r="F15" s="9">
        <v>33305</v>
      </c>
      <c r="G15" s="2" t="s">
        <v>136</v>
      </c>
      <c r="H15" s="2" t="str">
        <f>YEAR(F15)&amp;VLOOKUP(G15,$J$15:$K$22,2,FALSE)</f>
        <v>1991man1</v>
      </c>
      <c r="J15" s="2" t="s">
        <v>137</v>
      </c>
      <c r="K15" s="2" t="s">
        <v>138</v>
      </c>
    </row>
    <row r="16" spans="1:11" x14ac:dyDescent="0.3">
      <c r="A16" s="2" t="s">
        <v>139</v>
      </c>
      <c r="B16" s="3">
        <v>1657</v>
      </c>
      <c r="C16" s="2" t="str">
        <f t="shared" ref="C16:C22" si="1">CHOOSE(_xlfn.RANK.EQ(B16,$B$15:$B$22),"우수","우수","","","","","노력","노력")</f>
        <v/>
      </c>
      <c r="E16" s="2" t="s">
        <v>140</v>
      </c>
      <c r="F16" s="9">
        <v>30854</v>
      </c>
      <c r="G16" s="2" t="s">
        <v>141</v>
      </c>
      <c r="H16" s="2" t="str">
        <f t="shared" ref="H16:H22" si="2">YEAR(F16)&amp;VLOOKUP(G16,$J$15:$K$22,2,FALSE)</f>
        <v>1984fam1</v>
      </c>
      <c r="J16" s="2" t="s">
        <v>142</v>
      </c>
      <c r="K16" s="2" t="s">
        <v>143</v>
      </c>
    </row>
    <row r="17" spans="1:11" x14ac:dyDescent="0.3">
      <c r="A17" s="2" t="s">
        <v>144</v>
      </c>
      <c r="B17" s="3">
        <v>2666</v>
      </c>
      <c r="C17" s="2" t="str">
        <f t="shared" si="1"/>
        <v>우수</v>
      </c>
      <c r="E17" s="2" t="s">
        <v>145</v>
      </c>
      <c r="F17" s="9">
        <v>36990</v>
      </c>
      <c r="G17" s="2" t="s">
        <v>146</v>
      </c>
      <c r="H17" s="2" t="str">
        <f t="shared" si="2"/>
        <v>2001fri1</v>
      </c>
      <c r="J17" s="2" t="s">
        <v>146</v>
      </c>
      <c r="K17" s="2" t="s">
        <v>147</v>
      </c>
    </row>
    <row r="18" spans="1:11" x14ac:dyDescent="0.3">
      <c r="A18" s="2" t="s">
        <v>148</v>
      </c>
      <c r="B18" s="3">
        <v>1809</v>
      </c>
      <c r="C18" s="2" t="str">
        <f t="shared" si="1"/>
        <v/>
      </c>
      <c r="E18" s="2" t="s">
        <v>149</v>
      </c>
      <c r="F18" s="9">
        <v>34783</v>
      </c>
      <c r="G18" s="2" t="s">
        <v>137</v>
      </c>
      <c r="H18" s="2" t="str">
        <f t="shared" si="2"/>
        <v>1995mas1</v>
      </c>
      <c r="J18" s="2" t="s">
        <v>150</v>
      </c>
      <c r="K18" s="2" t="s">
        <v>151</v>
      </c>
    </row>
    <row r="19" spans="1:11" x14ac:dyDescent="0.3">
      <c r="A19" s="2" t="s">
        <v>152</v>
      </c>
      <c r="B19" s="3">
        <v>2468</v>
      </c>
      <c r="C19" s="2" t="str">
        <f t="shared" si="1"/>
        <v/>
      </c>
      <c r="E19" s="2" t="s">
        <v>153</v>
      </c>
      <c r="F19" s="9">
        <v>31972</v>
      </c>
      <c r="G19" s="2" t="s">
        <v>150</v>
      </c>
      <c r="H19" s="2" t="str">
        <f t="shared" si="2"/>
        <v>1987fri2</v>
      </c>
      <c r="J19" s="2" t="s">
        <v>136</v>
      </c>
      <c r="K19" s="2" t="s">
        <v>154</v>
      </c>
    </row>
    <row r="20" spans="1:11" x14ac:dyDescent="0.3">
      <c r="A20" s="2" t="s">
        <v>155</v>
      </c>
      <c r="B20" s="3">
        <v>2578</v>
      </c>
      <c r="C20" s="2" t="str">
        <f t="shared" si="1"/>
        <v>우수</v>
      </c>
      <c r="E20" s="2" t="s">
        <v>156</v>
      </c>
      <c r="F20" s="9">
        <v>32419</v>
      </c>
      <c r="G20" s="2" t="s">
        <v>142</v>
      </c>
      <c r="H20" s="2" t="str">
        <f t="shared" si="2"/>
        <v>1988mas2</v>
      </c>
      <c r="J20" s="2" t="s">
        <v>157</v>
      </c>
      <c r="K20" s="2" t="s">
        <v>158</v>
      </c>
    </row>
    <row r="21" spans="1:11" x14ac:dyDescent="0.3">
      <c r="A21" s="2" t="s">
        <v>159</v>
      </c>
      <c r="B21" s="3">
        <v>1027</v>
      </c>
      <c r="C21" s="2" t="str">
        <f t="shared" si="1"/>
        <v>노력</v>
      </c>
      <c r="E21" s="2" t="s">
        <v>160</v>
      </c>
      <c r="F21" s="9">
        <v>36190</v>
      </c>
      <c r="G21" s="2" t="s">
        <v>161</v>
      </c>
      <c r="H21" s="2" t="str">
        <f t="shared" si="2"/>
        <v>1999fam2</v>
      </c>
      <c r="J21" s="2" t="s">
        <v>141</v>
      </c>
      <c r="K21" s="2" t="s">
        <v>162</v>
      </c>
    </row>
    <row r="22" spans="1:11" x14ac:dyDescent="0.3">
      <c r="A22" s="2" t="s">
        <v>163</v>
      </c>
      <c r="B22" s="3">
        <v>1968</v>
      </c>
      <c r="C22" s="2" t="str">
        <f t="shared" si="1"/>
        <v/>
      </c>
      <c r="E22" s="2" t="s">
        <v>164</v>
      </c>
      <c r="F22" s="9">
        <v>36653</v>
      </c>
      <c r="G22" s="2" t="s">
        <v>157</v>
      </c>
      <c r="H22" s="2" t="str">
        <f t="shared" si="2"/>
        <v>2000man2</v>
      </c>
      <c r="J22" s="2" t="s">
        <v>161</v>
      </c>
      <c r="K22" s="2" t="s">
        <v>165</v>
      </c>
    </row>
    <row r="24" spans="1:11" x14ac:dyDescent="0.3">
      <c r="A24" s="6" t="s">
        <v>166</v>
      </c>
      <c r="B24" s="5" t="s">
        <v>167</v>
      </c>
    </row>
    <row r="25" spans="1:11" x14ac:dyDescent="0.3">
      <c r="A25" s="2" t="s">
        <v>168</v>
      </c>
      <c r="B25" s="2" t="s">
        <v>169</v>
      </c>
      <c r="C25" s="2" t="s">
        <v>170</v>
      </c>
      <c r="D25" s="2" t="s">
        <v>47</v>
      </c>
      <c r="E25" s="2" t="s">
        <v>171</v>
      </c>
    </row>
    <row r="26" spans="1:11" x14ac:dyDescent="0.3">
      <c r="A26" s="2" t="s">
        <v>172</v>
      </c>
      <c r="B26" s="2" t="s">
        <v>173</v>
      </c>
      <c r="C26" s="3">
        <v>3900</v>
      </c>
      <c r="D26" s="3">
        <v>116</v>
      </c>
      <c r="E26" s="3">
        <v>452400</v>
      </c>
    </row>
    <row r="27" spans="1:11" x14ac:dyDescent="0.3">
      <c r="A27" s="2" t="s">
        <v>174</v>
      </c>
      <c r="B27" s="2" t="s">
        <v>116</v>
      </c>
      <c r="C27" s="3">
        <v>4600</v>
      </c>
      <c r="D27" s="3">
        <v>128</v>
      </c>
      <c r="E27" s="3">
        <v>588800</v>
      </c>
    </row>
    <row r="28" spans="1:11" x14ac:dyDescent="0.3">
      <c r="A28" s="2" t="s">
        <v>174</v>
      </c>
      <c r="B28" s="2" t="s">
        <v>118</v>
      </c>
      <c r="C28" s="3">
        <v>9800</v>
      </c>
      <c r="D28" s="3">
        <v>88</v>
      </c>
      <c r="E28" s="3">
        <v>862400</v>
      </c>
    </row>
    <row r="29" spans="1:11" x14ac:dyDescent="0.3">
      <c r="A29" s="2" t="s">
        <v>175</v>
      </c>
      <c r="B29" s="2" t="s">
        <v>176</v>
      </c>
      <c r="C29" s="3">
        <v>6700</v>
      </c>
      <c r="D29" s="3">
        <v>123</v>
      </c>
      <c r="E29" s="3">
        <v>824100</v>
      </c>
    </row>
    <row r="30" spans="1:11" x14ac:dyDescent="0.3">
      <c r="A30" s="2" t="s">
        <v>174</v>
      </c>
      <c r="B30" s="2" t="s">
        <v>114</v>
      </c>
      <c r="C30" s="3">
        <v>8800</v>
      </c>
      <c r="D30" s="3">
        <v>94</v>
      </c>
      <c r="E30" s="3">
        <v>827200</v>
      </c>
    </row>
    <row r="31" spans="1:11" x14ac:dyDescent="0.3">
      <c r="A31" s="2" t="s">
        <v>175</v>
      </c>
      <c r="B31" s="2" t="s">
        <v>177</v>
      </c>
      <c r="C31" s="3">
        <v>9500</v>
      </c>
      <c r="D31" s="3">
        <v>157</v>
      </c>
      <c r="E31" s="3">
        <v>1491500</v>
      </c>
      <c r="F31" s="1" t="s">
        <v>178</v>
      </c>
    </row>
    <row r="32" spans="1:11" x14ac:dyDescent="0.3">
      <c r="A32" s="2" t="s">
        <v>172</v>
      </c>
      <c r="B32" s="2" t="s">
        <v>179</v>
      </c>
      <c r="C32" s="3">
        <v>4500</v>
      </c>
      <c r="D32" s="3">
        <v>167</v>
      </c>
      <c r="E32" s="3">
        <v>751500</v>
      </c>
      <c r="F32" s="2" t="s">
        <v>185</v>
      </c>
    </row>
    <row r="33" spans="1:6" x14ac:dyDescent="0.3">
      <c r="A33" s="14" t="s">
        <v>180</v>
      </c>
      <c r="B33" s="15"/>
      <c r="C33" s="15"/>
      <c r="D33" s="16"/>
      <c r="E33" s="3">
        <f>ROUNDUP(DSUM(A25:E32,5,F32:F33),-3)</f>
        <v>2279000</v>
      </c>
      <c r="F33" s="2" t="s">
        <v>186</v>
      </c>
    </row>
  </sheetData>
  <mergeCells count="3">
    <mergeCell ref="G11:J11"/>
    <mergeCell ref="J13:K13"/>
    <mergeCell ref="A33:D3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58E6-4416-4C4C-A1D5-F29D5470378E}">
  <dimension ref="A1:N30"/>
  <sheetViews>
    <sheetView workbookViewId="0">
      <selection activeCell="N31" sqref="N31"/>
    </sheetView>
  </sheetViews>
  <sheetFormatPr defaultRowHeight="16.5" outlineLevelRow="3" x14ac:dyDescent="0.3"/>
  <cols>
    <col min="1" max="1" width="14.375" bestFit="1" customWidth="1"/>
    <col min="3" max="6" width="8.75" bestFit="1" customWidth="1"/>
    <col min="7" max="7" width="10.625" bestFit="1" customWidth="1"/>
  </cols>
  <sheetData>
    <row r="1" spans="1:7" ht="20.25" x14ac:dyDescent="0.3">
      <c r="A1" s="13" t="s">
        <v>41</v>
      </c>
      <c r="B1" s="13"/>
      <c r="C1" s="13"/>
      <c r="D1" s="13"/>
      <c r="E1" s="13"/>
      <c r="F1" s="13"/>
      <c r="G1" s="13"/>
    </row>
    <row r="3" spans="1:7" x14ac:dyDescent="0.3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  <c r="F3" s="2" t="s">
        <v>47</v>
      </c>
      <c r="G3" s="2" t="s">
        <v>48</v>
      </c>
    </row>
    <row r="4" spans="1:7" outlineLevel="3" x14ac:dyDescent="0.3">
      <c r="A4" s="2" t="s">
        <v>49</v>
      </c>
      <c r="B4" s="2" t="s">
        <v>50</v>
      </c>
      <c r="C4" s="3">
        <v>682</v>
      </c>
      <c r="D4" s="3">
        <v>925</v>
      </c>
      <c r="E4" s="3">
        <v>4500</v>
      </c>
      <c r="F4" s="3">
        <v>76</v>
      </c>
      <c r="G4" s="3">
        <v>342000</v>
      </c>
    </row>
    <row r="5" spans="1:7" outlineLevel="3" x14ac:dyDescent="0.3">
      <c r="A5" s="2" t="s">
        <v>55</v>
      </c>
      <c r="B5" s="2" t="s">
        <v>50</v>
      </c>
      <c r="C5" s="3">
        <v>627</v>
      </c>
      <c r="D5" s="3">
        <v>896</v>
      </c>
      <c r="E5" s="3">
        <v>4700</v>
      </c>
      <c r="F5" s="3">
        <v>58</v>
      </c>
      <c r="G5" s="3">
        <v>272600</v>
      </c>
    </row>
    <row r="6" spans="1:7" outlineLevel="3" x14ac:dyDescent="0.3">
      <c r="A6" s="2" t="s">
        <v>58</v>
      </c>
      <c r="B6" s="2" t="s">
        <v>50</v>
      </c>
      <c r="C6" s="3">
        <v>769</v>
      </c>
      <c r="D6" s="3">
        <v>1169</v>
      </c>
      <c r="E6" s="3">
        <v>5100</v>
      </c>
      <c r="F6" s="3">
        <v>57</v>
      </c>
      <c r="G6" s="3">
        <v>290700</v>
      </c>
    </row>
    <row r="7" spans="1:7" outlineLevel="3" x14ac:dyDescent="0.3">
      <c r="A7" s="2" t="s">
        <v>61</v>
      </c>
      <c r="B7" s="2" t="s">
        <v>50</v>
      </c>
      <c r="C7" s="3">
        <v>846</v>
      </c>
      <c r="D7" s="3">
        <v>1083</v>
      </c>
      <c r="E7" s="3">
        <v>6200</v>
      </c>
      <c r="F7" s="3">
        <v>52</v>
      </c>
      <c r="G7" s="3">
        <v>322400</v>
      </c>
    </row>
    <row r="8" spans="1:7" outlineLevel="2" x14ac:dyDescent="0.3">
      <c r="A8" s="2"/>
      <c r="B8" s="32" t="s">
        <v>191</v>
      </c>
      <c r="C8" s="3"/>
      <c r="D8" s="3"/>
      <c r="E8" s="3"/>
      <c r="F8" s="3">
        <f>SUBTOTAL(4,F4:F7)</f>
        <v>76</v>
      </c>
      <c r="G8" s="3"/>
    </row>
    <row r="9" spans="1:7" outlineLevel="1" x14ac:dyDescent="0.3">
      <c r="A9" s="2"/>
      <c r="B9" s="32" t="s">
        <v>187</v>
      </c>
      <c r="C9" s="3">
        <f>SUBTOTAL(1,C4:C7)</f>
        <v>731</v>
      </c>
      <c r="D9" s="3">
        <f>SUBTOTAL(1,D4:D7)</f>
        <v>1018.25</v>
      </c>
      <c r="E9" s="3"/>
      <c r="F9" s="3"/>
      <c r="G9" s="3"/>
    </row>
    <row r="10" spans="1:7" outlineLevel="3" x14ac:dyDescent="0.3">
      <c r="A10" s="2" t="s">
        <v>53</v>
      </c>
      <c r="B10" s="2" t="s">
        <v>54</v>
      </c>
      <c r="C10" s="3">
        <v>49</v>
      </c>
      <c r="D10" s="3">
        <v>136</v>
      </c>
      <c r="E10" s="3">
        <v>1500</v>
      </c>
      <c r="F10" s="3">
        <v>122</v>
      </c>
      <c r="G10" s="3">
        <v>183000</v>
      </c>
    </row>
    <row r="11" spans="1:7" outlineLevel="3" x14ac:dyDescent="0.3">
      <c r="A11" s="2" t="s">
        <v>57</v>
      </c>
      <c r="B11" s="2" t="s">
        <v>54</v>
      </c>
      <c r="C11" s="3">
        <v>135</v>
      </c>
      <c r="D11" s="3">
        <v>370</v>
      </c>
      <c r="E11" s="3">
        <v>2400</v>
      </c>
      <c r="F11" s="3">
        <v>196</v>
      </c>
      <c r="G11" s="3">
        <v>470400</v>
      </c>
    </row>
    <row r="12" spans="1:7" outlineLevel="3" x14ac:dyDescent="0.3">
      <c r="A12" s="2" t="s">
        <v>59</v>
      </c>
      <c r="B12" s="2" t="s">
        <v>54</v>
      </c>
      <c r="C12" s="3">
        <v>156</v>
      </c>
      <c r="D12" s="3">
        <v>294</v>
      </c>
      <c r="E12" s="3">
        <v>2800</v>
      </c>
      <c r="F12" s="3">
        <v>156</v>
      </c>
      <c r="G12" s="3">
        <v>436800</v>
      </c>
    </row>
    <row r="13" spans="1:7" outlineLevel="2" x14ac:dyDescent="0.3">
      <c r="A13" s="2"/>
      <c r="B13" s="32" t="s">
        <v>192</v>
      </c>
      <c r="C13" s="3"/>
      <c r="D13" s="3"/>
      <c r="E13" s="3"/>
      <c r="F13" s="3">
        <f>SUBTOTAL(4,F10:F12)</f>
        <v>196</v>
      </c>
      <c r="G13" s="3"/>
    </row>
    <row r="14" spans="1:7" outlineLevel="1" x14ac:dyDescent="0.3">
      <c r="A14" s="2"/>
      <c r="B14" s="32" t="s">
        <v>188</v>
      </c>
      <c r="C14" s="3">
        <f>SUBTOTAL(1,C10:C12)</f>
        <v>113.33333333333333</v>
      </c>
      <c r="D14" s="3">
        <f>SUBTOTAL(1,D10:D12)</f>
        <v>266.66666666666669</v>
      </c>
      <c r="E14" s="3"/>
      <c r="F14" s="3"/>
      <c r="G14" s="3"/>
    </row>
    <row r="15" spans="1:7" outlineLevel="3" x14ac:dyDescent="0.3">
      <c r="A15" s="2" t="s">
        <v>51</v>
      </c>
      <c r="B15" s="2" t="s">
        <v>52</v>
      </c>
      <c r="C15" s="3">
        <v>963</v>
      </c>
      <c r="D15" s="3">
        <v>1341</v>
      </c>
      <c r="E15" s="3">
        <v>7800</v>
      </c>
      <c r="F15" s="3">
        <v>139</v>
      </c>
      <c r="G15" s="3">
        <v>1084200</v>
      </c>
    </row>
    <row r="16" spans="1:7" outlineLevel="3" x14ac:dyDescent="0.3">
      <c r="A16" s="2" t="s">
        <v>56</v>
      </c>
      <c r="B16" s="2" t="s">
        <v>52</v>
      </c>
      <c r="C16" s="3">
        <v>779</v>
      </c>
      <c r="D16" s="3">
        <v>1112</v>
      </c>
      <c r="E16" s="3">
        <v>6100</v>
      </c>
      <c r="F16" s="3">
        <v>91</v>
      </c>
      <c r="G16" s="3">
        <v>555100</v>
      </c>
    </row>
    <row r="17" spans="1:14" outlineLevel="3" x14ac:dyDescent="0.3">
      <c r="A17" s="2" t="s">
        <v>60</v>
      </c>
      <c r="B17" s="2" t="s">
        <v>52</v>
      </c>
      <c r="C17" s="3">
        <v>865</v>
      </c>
      <c r="D17" s="3">
        <v>1228</v>
      </c>
      <c r="E17" s="3">
        <v>6700</v>
      </c>
      <c r="F17" s="3">
        <v>94</v>
      </c>
      <c r="G17" s="3">
        <v>629800</v>
      </c>
    </row>
    <row r="18" spans="1:14" outlineLevel="3" x14ac:dyDescent="0.3">
      <c r="A18" s="2" t="s">
        <v>62</v>
      </c>
      <c r="B18" s="2" t="s">
        <v>52</v>
      </c>
      <c r="C18" s="3">
        <v>738</v>
      </c>
      <c r="D18" s="3">
        <v>1068</v>
      </c>
      <c r="E18" s="3">
        <v>5300</v>
      </c>
      <c r="F18" s="3">
        <v>108</v>
      </c>
      <c r="G18" s="3">
        <v>572400</v>
      </c>
    </row>
    <row r="19" spans="1:14" outlineLevel="2" x14ac:dyDescent="0.3">
      <c r="A19" s="33"/>
      <c r="B19" s="35" t="s">
        <v>193</v>
      </c>
      <c r="C19" s="34"/>
      <c r="D19" s="34"/>
      <c r="E19" s="34"/>
      <c r="F19" s="34">
        <f>SUBTOTAL(4,F15:F18)</f>
        <v>139</v>
      </c>
      <c r="G19" s="34"/>
    </row>
    <row r="20" spans="1:14" outlineLevel="1" x14ac:dyDescent="0.3">
      <c r="A20" s="33"/>
      <c r="B20" s="35" t="s">
        <v>189</v>
      </c>
      <c r="C20" s="34">
        <f>SUBTOTAL(1,C15:C18)</f>
        <v>836.25</v>
      </c>
      <c r="D20" s="34">
        <f>SUBTOTAL(1,D15:D18)</f>
        <v>1187.25</v>
      </c>
      <c r="E20" s="34"/>
      <c r="F20" s="34"/>
      <c r="G20" s="34"/>
    </row>
    <row r="21" spans="1:14" x14ac:dyDescent="0.3">
      <c r="A21" s="33"/>
      <c r="B21" s="35" t="s">
        <v>194</v>
      </c>
      <c r="C21" s="34"/>
      <c r="D21" s="34"/>
      <c r="E21" s="34"/>
      <c r="F21" s="34">
        <f>SUBTOTAL(4,F4:F18)</f>
        <v>196</v>
      </c>
      <c r="G21" s="34"/>
    </row>
    <row r="22" spans="1:14" x14ac:dyDescent="0.3">
      <c r="A22" s="33"/>
      <c r="B22" s="35" t="s">
        <v>190</v>
      </c>
      <c r="C22" s="34">
        <f>SUBTOTAL(1,C4:C18)</f>
        <v>600.81818181818187</v>
      </c>
      <c r="D22" s="34">
        <f>SUBTOTAL(1,D4:D18)</f>
        <v>874.72727272727275</v>
      </c>
      <c r="E22" s="34"/>
      <c r="F22" s="34"/>
      <c r="G22" s="34"/>
    </row>
    <row r="28" spans="1:14" x14ac:dyDescent="0.3">
      <c r="M28">
        <v>1</v>
      </c>
      <c r="N28" t="s">
        <v>195</v>
      </c>
    </row>
    <row r="30" spans="1:14" x14ac:dyDescent="0.3">
      <c r="M30">
        <v>2</v>
      </c>
      <c r="N30" t="s">
        <v>196</v>
      </c>
    </row>
  </sheetData>
  <sortState xmlns:xlrd2="http://schemas.microsoft.com/office/spreadsheetml/2017/richdata2" ref="A4:G18">
    <sortCondition ref="B4:B18"/>
  </sortState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AD91-4F30-489E-9682-E0001C0ECB22}">
  <dimension ref="B2:P28"/>
  <sheetViews>
    <sheetView tabSelected="1" workbookViewId="0">
      <selection activeCell="P28" sqref="P28"/>
    </sheetView>
  </sheetViews>
  <sheetFormatPr defaultRowHeight="16.5" x14ac:dyDescent="0.3"/>
  <cols>
    <col min="1" max="1" width="3.625" customWidth="1"/>
    <col min="2" max="2" width="10.375" bestFit="1" customWidth="1"/>
    <col min="7" max="7" width="10.375" bestFit="1" customWidth="1"/>
  </cols>
  <sheetData>
    <row r="2" spans="2:10" x14ac:dyDescent="0.3">
      <c r="B2" s="4" t="s">
        <v>63</v>
      </c>
      <c r="C2" s="5" t="s">
        <v>64</v>
      </c>
      <c r="G2" s="6" t="s">
        <v>65</v>
      </c>
      <c r="H2" s="5" t="s">
        <v>66</v>
      </c>
    </row>
    <row r="3" spans="2:10" x14ac:dyDescent="0.3">
      <c r="B3" s="2" t="s">
        <v>67</v>
      </c>
      <c r="C3" s="2" t="s">
        <v>68</v>
      </c>
      <c r="D3" s="2" t="s">
        <v>69</v>
      </c>
      <c r="E3" s="2" t="s">
        <v>70</v>
      </c>
      <c r="G3" s="2" t="s">
        <v>67</v>
      </c>
      <c r="H3" s="2" t="s">
        <v>68</v>
      </c>
      <c r="I3" s="2" t="s">
        <v>69</v>
      </c>
      <c r="J3" s="2" t="s">
        <v>70</v>
      </c>
    </row>
    <row r="4" spans="2:10" x14ac:dyDescent="0.3">
      <c r="B4" s="2" t="s">
        <v>71</v>
      </c>
      <c r="C4" s="2">
        <v>300</v>
      </c>
      <c r="D4" s="2">
        <v>248</v>
      </c>
      <c r="E4" s="2">
        <v>52</v>
      </c>
      <c r="G4" s="2" t="s">
        <v>71</v>
      </c>
      <c r="H4" s="2">
        <v>250</v>
      </c>
      <c r="I4" s="2">
        <v>242</v>
      </c>
      <c r="J4" s="2">
        <v>8</v>
      </c>
    </row>
    <row r="5" spans="2:10" x14ac:dyDescent="0.3">
      <c r="B5" s="2" t="s">
        <v>72</v>
      </c>
      <c r="C5" s="2">
        <v>270</v>
      </c>
      <c r="D5" s="2">
        <v>206</v>
      </c>
      <c r="E5" s="2">
        <v>64</v>
      </c>
      <c r="G5" s="2" t="s">
        <v>72</v>
      </c>
      <c r="H5" s="2">
        <v>220</v>
      </c>
      <c r="I5" s="2">
        <v>204</v>
      </c>
      <c r="J5" s="2">
        <v>16</v>
      </c>
    </row>
    <row r="6" spans="2:10" x14ac:dyDescent="0.3">
      <c r="B6" s="2" t="s">
        <v>73</v>
      </c>
      <c r="C6" s="2">
        <v>180</v>
      </c>
      <c r="D6" s="2">
        <v>167</v>
      </c>
      <c r="E6" s="2">
        <v>13</v>
      </c>
      <c r="G6" s="2" t="s">
        <v>73</v>
      </c>
      <c r="H6" s="2">
        <v>200</v>
      </c>
      <c r="I6" s="2">
        <v>168</v>
      </c>
      <c r="J6" s="2">
        <v>32</v>
      </c>
    </row>
    <row r="7" spans="2:10" x14ac:dyDescent="0.3">
      <c r="B7" s="2" t="s">
        <v>74</v>
      </c>
      <c r="C7" s="2">
        <v>240</v>
      </c>
      <c r="D7" s="2">
        <v>221</v>
      </c>
      <c r="E7" s="2">
        <v>19</v>
      </c>
      <c r="G7" s="2" t="s">
        <v>74</v>
      </c>
      <c r="H7" s="2">
        <v>250</v>
      </c>
      <c r="I7" s="2">
        <v>237</v>
      </c>
      <c r="J7" s="2">
        <v>13</v>
      </c>
    </row>
    <row r="10" spans="2:10" x14ac:dyDescent="0.3">
      <c r="B10" s="6" t="s">
        <v>75</v>
      </c>
      <c r="C10" s="5" t="s">
        <v>76</v>
      </c>
      <c r="G10" s="6" t="s">
        <v>77</v>
      </c>
      <c r="H10" s="5" t="s">
        <v>78</v>
      </c>
    </row>
    <row r="11" spans="2:10" x14ac:dyDescent="0.3">
      <c r="B11" s="2" t="s">
        <v>67</v>
      </c>
      <c r="C11" s="2" t="s">
        <v>68</v>
      </c>
      <c r="D11" s="2" t="s">
        <v>69</v>
      </c>
      <c r="E11" s="2" t="s">
        <v>70</v>
      </c>
      <c r="G11" s="2" t="s">
        <v>67</v>
      </c>
      <c r="H11" s="2" t="s">
        <v>68</v>
      </c>
      <c r="I11" s="2" t="s">
        <v>69</v>
      </c>
      <c r="J11" s="2" t="s">
        <v>70</v>
      </c>
    </row>
    <row r="12" spans="2:10" x14ac:dyDescent="0.3">
      <c r="B12" s="2" t="s">
        <v>71</v>
      </c>
      <c r="C12" s="2">
        <v>270</v>
      </c>
      <c r="D12" s="2">
        <v>248</v>
      </c>
      <c r="E12" s="2">
        <v>22</v>
      </c>
      <c r="G12" s="2" t="s">
        <v>71</v>
      </c>
      <c r="H12" s="2">
        <v>273.33333333333331</v>
      </c>
      <c r="I12" s="2">
        <v>246</v>
      </c>
      <c r="J12" s="2">
        <v>27.333333333333332</v>
      </c>
    </row>
    <row r="13" spans="2:10" x14ac:dyDescent="0.3">
      <c r="B13" s="2" t="s">
        <v>72</v>
      </c>
      <c r="C13" s="2">
        <v>230</v>
      </c>
      <c r="D13" s="2">
        <v>213</v>
      </c>
      <c r="E13" s="2">
        <v>17</v>
      </c>
      <c r="G13" s="2" t="s">
        <v>72</v>
      </c>
      <c r="H13" s="2">
        <v>240</v>
      </c>
      <c r="I13" s="2">
        <v>207.66666666666666</v>
      </c>
      <c r="J13" s="2">
        <v>32.333333333333336</v>
      </c>
    </row>
    <row r="14" spans="2:10" x14ac:dyDescent="0.3">
      <c r="B14" s="2" t="s">
        <v>73</v>
      </c>
      <c r="C14" s="2">
        <v>180</v>
      </c>
      <c r="D14" s="2">
        <v>157</v>
      </c>
      <c r="E14" s="2">
        <v>23</v>
      </c>
      <c r="G14" s="2" t="s">
        <v>73</v>
      </c>
      <c r="H14" s="2">
        <v>186.66666666666666</v>
      </c>
      <c r="I14" s="2">
        <v>164</v>
      </c>
      <c r="J14" s="2">
        <v>22.666666666666668</v>
      </c>
    </row>
    <row r="15" spans="2:10" x14ac:dyDescent="0.3">
      <c r="B15" s="2" t="s">
        <v>74</v>
      </c>
      <c r="C15" s="2">
        <v>280</v>
      </c>
      <c r="D15" s="2">
        <v>263</v>
      </c>
      <c r="E15" s="2">
        <v>17</v>
      </c>
      <c r="G15" s="2" t="s">
        <v>74</v>
      </c>
      <c r="H15" s="2">
        <v>256.66666666666669</v>
      </c>
      <c r="I15" s="2">
        <v>240.33333333333334</v>
      </c>
      <c r="J15" s="2">
        <v>16.333333333333332</v>
      </c>
    </row>
    <row r="22" spans="15:16" x14ac:dyDescent="0.3">
      <c r="O22">
        <v>1</v>
      </c>
      <c r="P22" t="s">
        <v>197</v>
      </c>
    </row>
    <row r="24" spans="15:16" x14ac:dyDescent="0.3">
      <c r="O24">
        <v>2</v>
      </c>
      <c r="P24" t="s">
        <v>198</v>
      </c>
    </row>
    <row r="25" spans="15:16" x14ac:dyDescent="0.3">
      <c r="P25" t="s">
        <v>199</v>
      </c>
    </row>
    <row r="26" spans="15:16" x14ac:dyDescent="0.3">
      <c r="P26" t="s">
        <v>200</v>
      </c>
    </row>
    <row r="27" spans="15:16" x14ac:dyDescent="0.3">
      <c r="P27" t="s">
        <v>201</v>
      </c>
    </row>
    <row r="28" spans="15:16" x14ac:dyDescent="0.3">
      <c r="P28" t="s">
        <v>202</v>
      </c>
    </row>
  </sheetData>
  <dataConsolidate function="average">
    <dataRefs count="3">
      <dataRef ref="C4:E7" sheet="분석작업-2"/>
      <dataRef ref="H4:J7" sheet="분석작업-2"/>
      <dataRef ref="C12:E15" sheet="분석작업-2"/>
    </dataRefs>
  </dataConsolidate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BCAD-ED51-4BD1-983A-2E88C3B2087A}">
  <dimension ref="A1:D9"/>
  <sheetViews>
    <sheetView workbookViewId="0">
      <selection sqref="A1:D1"/>
    </sheetView>
  </sheetViews>
  <sheetFormatPr defaultRowHeight="16.5" x14ac:dyDescent="0.3"/>
  <cols>
    <col min="6" max="6" width="11.625" customWidth="1"/>
  </cols>
  <sheetData>
    <row r="1" spans="1:4" ht="20.25" x14ac:dyDescent="0.3">
      <c r="A1" s="13" t="s">
        <v>79</v>
      </c>
      <c r="B1" s="13"/>
      <c r="C1" s="13"/>
      <c r="D1" s="13"/>
    </row>
    <row r="3" spans="1:4" x14ac:dyDescent="0.3">
      <c r="A3" s="2" t="s">
        <v>43</v>
      </c>
      <c r="B3" s="2" t="s">
        <v>80</v>
      </c>
      <c r="C3" s="2" t="s">
        <v>81</v>
      </c>
      <c r="D3" s="2" t="s">
        <v>82</v>
      </c>
    </row>
    <row r="4" spans="1:4" x14ac:dyDescent="0.3">
      <c r="A4" s="2" t="s">
        <v>83</v>
      </c>
      <c r="B4" s="2">
        <v>59.99</v>
      </c>
      <c r="C4" s="2">
        <v>19.03</v>
      </c>
      <c r="D4" s="2"/>
    </row>
    <row r="5" spans="1:4" x14ac:dyDescent="0.3">
      <c r="A5" s="2" t="s">
        <v>84</v>
      </c>
      <c r="B5" s="2">
        <v>59.99</v>
      </c>
      <c r="C5" s="2">
        <v>20.03</v>
      </c>
      <c r="D5" s="2"/>
    </row>
    <row r="6" spans="1:4" x14ac:dyDescent="0.3">
      <c r="A6" s="2" t="s">
        <v>85</v>
      </c>
      <c r="B6" s="2">
        <v>84.96</v>
      </c>
      <c r="C6" s="2">
        <v>25.61</v>
      </c>
      <c r="D6" s="2"/>
    </row>
    <row r="7" spans="1:4" x14ac:dyDescent="0.3">
      <c r="A7" s="2" t="s">
        <v>86</v>
      </c>
      <c r="B7" s="2">
        <v>84.99</v>
      </c>
      <c r="C7" s="2">
        <v>25.63</v>
      </c>
      <c r="D7" s="2"/>
    </row>
    <row r="8" spans="1:4" x14ac:dyDescent="0.3">
      <c r="A8" s="2" t="s">
        <v>87</v>
      </c>
      <c r="B8" s="2">
        <v>109.71</v>
      </c>
      <c r="C8" s="2">
        <v>40.119999999999997</v>
      </c>
      <c r="D8" s="2"/>
    </row>
    <row r="9" spans="1:4" x14ac:dyDescent="0.3">
      <c r="A9" s="2" t="s">
        <v>88</v>
      </c>
      <c r="B9" s="2">
        <v>109.78</v>
      </c>
      <c r="C9" s="2">
        <v>40.18</v>
      </c>
      <c r="D9" s="2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9EA8-1D87-4902-BC6B-3A4B49C42940}">
  <dimension ref="A1:D10"/>
  <sheetViews>
    <sheetView workbookViewId="0">
      <selection sqref="A1:D1"/>
    </sheetView>
  </sheetViews>
  <sheetFormatPr defaultRowHeight="16.5" x14ac:dyDescent="0.3"/>
  <cols>
    <col min="4" max="4" width="12.625" bestFit="1" customWidth="1"/>
  </cols>
  <sheetData>
    <row r="1" spans="1:4" ht="20.25" x14ac:dyDescent="0.3">
      <c r="A1" s="13" t="s">
        <v>89</v>
      </c>
      <c r="B1" s="13"/>
      <c r="C1" s="13"/>
      <c r="D1" s="13"/>
    </row>
    <row r="3" spans="1:4" x14ac:dyDescent="0.3">
      <c r="A3" s="2" t="s">
        <v>90</v>
      </c>
      <c r="B3" s="2" t="s">
        <v>91</v>
      </c>
      <c r="C3" s="2" t="s">
        <v>92</v>
      </c>
      <c r="D3" s="2" t="s">
        <v>93</v>
      </c>
    </row>
    <row r="4" spans="1:4" x14ac:dyDescent="0.3">
      <c r="A4" s="2" t="s">
        <v>94</v>
      </c>
      <c r="B4" s="7">
        <v>3957</v>
      </c>
      <c r="C4" s="7">
        <v>34</v>
      </c>
      <c r="D4" s="7">
        <v>49462500</v>
      </c>
    </row>
    <row r="5" spans="1:4" x14ac:dyDescent="0.3">
      <c r="A5" s="2" t="s">
        <v>95</v>
      </c>
      <c r="B5" s="7">
        <v>5602</v>
      </c>
      <c r="C5" s="7">
        <v>51</v>
      </c>
      <c r="D5" s="7">
        <v>70025000</v>
      </c>
    </row>
    <row r="6" spans="1:4" x14ac:dyDescent="0.3">
      <c r="A6" s="2" t="s">
        <v>96</v>
      </c>
      <c r="B6" s="7">
        <v>5133</v>
      </c>
      <c r="C6" s="7">
        <v>22</v>
      </c>
      <c r="D6" s="7">
        <v>64162500</v>
      </c>
    </row>
    <row r="7" spans="1:4" x14ac:dyDescent="0.3">
      <c r="A7" s="2" t="s">
        <v>97</v>
      </c>
      <c r="B7" s="7">
        <v>4320</v>
      </c>
      <c r="C7" s="7">
        <v>46</v>
      </c>
      <c r="D7" s="7">
        <v>54000000</v>
      </c>
    </row>
    <row r="8" spans="1:4" x14ac:dyDescent="0.3">
      <c r="A8" s="2" t="s">
        <v>98</v>
      </c>
      <c r="B8" s="7">
        <v>6584</v>
      </c>
      <c r="C8" s="7">
        <v>63</v>
      </c>
      <c r="D8" s="7">
        <v>82300000</v>
      </c>
    </row>
    <row r="9" spans="1:4" x14ac:dyDescent="0.3">
      <c r="A9" s="2" t="s">
        <v>99</v>
      </c>
      <c r="B9" s="7">
        <v>5869</v>
      </c>
      <c r="C9" s="7">
        <v>49</v>
      </c>
      <c r="D9" s="7">
        <v>73362500</v>
      </c>
    </row>
    <row r="10" spans="1:4" x14ac:dyDescent="0.3">
      <c r="A10" s="2" t="s">
        <v>100</v>
      </c>
      <c r="B10" s="7">
        <v>31465</v>
      </c>
      <c r="C10" s="7">
        <v>265</v>
      </c>
      <c r="D10" s="7">
        <v>393312500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열람권수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2026-07-12T05:27:02Z</dcterms:modified>
</cp:coreProperties>
</file>