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2_메일링\2012년이후\03_컴활실기\02_메일링용\2025년 컴활2급 상시02\"/>
    </mc:Choice>
  </mc:AlternateContent>
  <xr:revisionPtr revIDLastSave="0" documentId="13_ncr:1_{4CAC7FFA-C655-427E-9D7D-34FA664BF7A5}" xr6:coauthVersionLast="47" xr6:coauthVersionMax="47" xr10:uidLastSave="{00000000-0000-0000-0000-000000000000}"/>
  <bookViews>
    <workbookView xWindow="-31820" yWindow="3570" windowWidth="22430" windowHeight="17480" xr2:uid="{454C2710-479D-43CF-B081-445713A883DF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9" r:id="rId5"/>
    <sheet name="분석작업-2" sheetId="10" r:id="rId6"/>
    <sheet name="매크로작업" sheetId="8" r:id="rId7"/>
    <sheet name="차트작업" sheetId="7" r:id="rId8"/>
  </sheets>
  <definedNames>
    <definedName name="결제액">'기본작업-2'!$E$4:$E$11</definedName>
    <definedName name="누적포인트">'기본작업-2'!$G$4:$G$11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5" i="4" l="1"/>
  <c r="G4" i="4" l="1"/>
  <c r="G5" i="4"/>
  <c r="G6" i="4"/>
  <c r="G7" i="4"/>
  <c r="G8" i="4"/>
  <c r="G9" i="4"/>
  <c r="G10" i="4"/>
  <c r="G11" i="4"/>
  <c r="G3" i="4"/>
  <c r="E22" i="4" l="1"/>
  <c r="E21" i="4"/>
  <c r="E20" i="4"/>
  <c r="E19" i="4"/>
  <c r="E18" i="4"/>
  <c r="E17" i="4"/>
  <c r="E16" i="4"/>
  <c r="E15" i="4"/>
  <c r="J22" i="4" l="1"/>
  <c r="C4" i="4" l="1"/>
  <c r="C5" i="4"/>
  <c r="C6" i="4"/>
  <c r="C7" i="4"/>
  <c r="C8" i="4"/>
  <c r="C9" i="4"/>
  <c r="C10" i="4"/>
  <c r="C11" i="4"/>
  <c r="C3" i="4"/>
  <c r="E5" i="8" l="1"/>
  <c r="E6" i="8"/>
  <c r="E7" i="8"/>
  <c r="E8" i="8"/>
  <c r="E9" i="8"/>
  <c r="E10" i="8"/>
  <c r="E11" i="8"/>
  <c r="E4" i="8"/>
  <c r="G12" i="10" l="1"/>
  <c r="G11" i="10"/>
  <c r="G10" i="10"/>
  <c r="G9" i="10"/>
  <c r="G8" i="10"/>
  <c r="G7" i="10"/>
  <c r="G6" i="10"/>
  <c r="G5" i="10"/>
  <c r="G4" i="10"/>
</calcChain>
</file>

<file path=xl/sharedStrings.xml><?xml version="1.0" encoding="utf-8"?>
<sst xmlns="http://schemas.openxmlformats.org/spreadsheetml/2006/main" count="313" uniqueCount="241">
  <si>
    <t>가전제품 입고 현황</t>
    <phoneticPr fontId="1" type="noConversion"/>
  </si>
  <si>
    <t>제품명</t>
  </si>
  <si>
    <t>모델명</t>
  </si>
  <si>
    <t>담당자</t>
  </si>
  <si>
    <t>입고단가</t>
  </si>
  <si>
    <t>입고량</t>
  </si>
  <si>
    <t>공기청정살균기</t>
  </si>
  <si>
    <t>S5MBC</t>
  </si>
  <si>
    <t>이석훈</t>
  </si>
  <si>
    <t>드럼세탁기</t>
  </si>
  <si>
    <t>TR42WL</t>
  </si>
  <si>
    <t>김청아</t>
  </si>
  <si>
    <t>스마트TV(163)</t>
  </si>
  <si>
    <t>A324S</t>
  </si>
  <si>
    <t>이찬승</t>
  </si>
  <si>
    <t>미니무선청소기</t>
  </si>
  <si>
    <t>WF69T</t>
  </si>
  <si>
    <t>오선지</t>
  </si>
  <si>
    <t>4도어냉장고</t>
  </si>
  <si>
    <t>KE65R</t>
  </si>
  <si>
    <t>박성웅</t>
  </si>
  <si>
    <t>스타일러</t>
  </si>
  <si>
    <t>B67AF</t>
  </si>
  <si>
    <t>김현숙</t>
  </si>
  <si>
    <t>상공쇼핑몰 회원관리 현황</t>
  </si>
  <si>
    <t>등급</t>
  </si>
  <si>
    <t>고객번호</t>
  </si>
  <si>
    <t>구입액</t>
  </si>
  <si>
    <t>할인액</t>
  </si>
  <si>
    <t>결제액</t>
  </si>
  <si>
    <t>적립률</t>
  </si>
  <si>
    <t>누적포인트</t>
  </si>
  <si>
    <t>VIP</t>
  </si>
  <si>
    <t>C-48923</t>
  </si>
  <si>
    <t>H-25567</t>
  </si>
  <si>
    <t>GOLD</t>
  </si>
  <si>
    <t>K-18409</t>
  </si>
  <si>
    <t>G-23987</t>
  </si>
  <si>
    <t>SILVER</t>
  </si>
  <si>
    <t>A-50545</t>
  </si>
  <si>
    <t>E-69771</t>
  </si>
  <si>
    <t>BASIC</t>
  </si>
  <si>
    <t>N-38904</t>
  </si>
  <si>
    <t>D-90568</t>
  </si>
  <si>
    <t>지역별 날씨</t>
  </si>
  <si>
    <t>기상</t>
  </si>
  <si>
    <t>지역</t>
  </si>
  <si>
    <t>1월</t>
  </si>
  <si>
    <t>2월</t>
  </si>
  <si>
    <t>3월</t>
  </si>
  <si>
    <t>4월</t>
  </si>
  <si>
    <t>강수량</t>
  </si>
  <si>
    <t>경기</t>
  </si>
  <si>
    <t>경상</t>
  </si>
  <si>
    <t>전라</t>
  </si>
  <si>
    <t>최고기온</t>
  </si>
  <si>
    <t>평균온도</t>
  </si>
  <si>
    <t>습도</t>
  </si>
  <si>
    <t>사원별 판매 실적</t>
  </si>
  <si>
    <t>사원명</t>
  </si>
  <si>
    <t>부서명</t>
  </si>
  <si>
    <t>직위</t>
  </si>
  <si>
    <t>전반기</t>
  </si>
  <si>
    <t>하반기</t>
  </si>
  <si>
    <t>반품</t>
  </si>
  <si>
    <t>윤동해</t>
  </si>
  <si>
    <t>영업1팀</t>
  </si>
  <si>
    <t>과장</t>
  </si>
  <si>
    <t>강조은</t>
  </si>
  <si>
    <t>대리</t>
  </si>
  <si>
    <t>권혜리</t>
  </si>
  <si>
    <t>안대인</t>
  </si>
  <si>
    <t>영업2팀</t>
  </si>
  <si>
    <t>부장</t>
  </si>
  <si>
    <t>심원진</t>
  </si>
  <si>
    <t>곽슬빈</t>
  </si>
  <si>
    <t>사원</t>
  </si>
  <si>
    <t>윤희수</t>
  </si>
  <si>
    <t>영업3팀</t>
  </si>
  <si>
    <t>전성수</t>
  </si>
  <si>
    <t>곽하율</t>
  </si>
  <si>
    <t>황은영</t>
  </si>
  <si>
    <t>영업4팀</t>
  </si>
  <si>
    <t>권민준</t>
  </si>
  <si>
    <t>김선호</t>
  </si>
  <si>
    <t>승진 시험 결과</t>
  </si>
  <si>
    <t>이름</t>
  </si>
  <si>
    <t>업무수행</t>
  </si>
  <si>
    <t>영어</t>
  </si>
  <si>
    <t>전산이론</t>
  </si>
  <si>
    <t>전산실기</t>
  </si>
  <si>
    <t>평균</t>
  </si>
  <si>
    <t>최정욱</t>
  </si>
  <si>
    <t>기술부</t>
  </si>
  <si>
    <t>전선희</t>
  </si>
  <si>
    <t>자재부</t>
  </si>
  <si>
    <t>신성현</t>
  </si>
  <si>
    <t>판매부</t>
  </si>
  <si>
    <t>김민호</t>
  </si>
  <si>
    <t>이민정</t>
  </si>
  <si>
    <t>박진주</t>
  </si>
  <si>
    <t>이현민</t>
  </si>
  <si>
    <t>황진주</t>
  </si>
  <si>
    <t>김민서</t>
  </si>
  <si>
    <t>(모두)</t>
  </si>
  <si>
    <t>행 레이블</t>
  </si>
  <si>
    <t>총합계</t>
  </si>
  <si>
    <t>합계 : 반품</t>
  </si>
  <si>
    <t>평균 : 전반기</t>
  </si>
  <si>
    <t>평균 : 하반기</t>
  </si>
  <si>
    <t>전기요금 사용량</t>
  </si>
  <si>
    <t>사용자명</t>
  </si>
  <si>
    <t>사용량</t>
  </si>
  <si>
    <t>사용요금</t>
  </si>
  <si>
    <t>세금</t>
  </si>
  <si>
    <t>총요금</t>
  </si>
  <si>
    <t>이상희</t>
  </si>
  <si>
    <t>지승대</t>
  </si>
  <si>
    <t>박동준</t>
  </si>
  <si>
    <t>조경원</t>
  </si>
  <si>
    <t>박해수</t>
  </si>
  <si>
    <t>유은정</t>
  </si>
  <si>
    <t>프로그램</t>
  </si>
  <si>
    <t>5월</t>
  </si>
  <si>
    <t>6월</t>
  </si>
  <si>
    <t>수영</t>
  </si>
  <si>
    <t>골프</t>
  </si>
  <si>
    <t>테니스</t>
  </si>
  <si>
    <t>볼링</t>
  </si>
  <si>
    <t>배드민턴</t>
  </si>
  <si>
    <t>탁구</t>
  </si>
  <si>
    <t>상공스포츠센터 강습인원 현황</t>
    <phoneticPr fontId="1" type="noConversion"/>
  </si>
  <si>
    <t>영어발표대회</t>
  </si>
  <si>
    <t>회원명</t>
  </si>
  <si>
    <t>점수</t>
  </si>
  <si>
    <t>김연경</t>
  </si>
  <si>
    <t>박종훈</t>
  </si>
  <si>
    <t>조유리</t>
  </si>
  <si>
    <t>강혜원</t>
  </si>
  <si>
    <t>권은비</t>
  </si>
  <si>
    <t>심우석</t>
  </si>
  <si>
    <t>김한성</t>
  </si>
  <si>
    <t>이효진</t>
  </si>
  <si>
    <t>최미영</t>
  </si>
  <si>
    <t>[표1]</t>
    <phoneticPr fontId="1" type="noConversion"/>
  </si>
  <si>
    <t>수학경시대회 결과</t>
  </si>
  <si>
    <t>참가번호</t>
  </si>
  <si>
    <t>출신지역</t>
  </si>
  <si>
    <t>평가점수</t>
  </si>
  <si>
    <t>P00001</t>
  </si>
  <si>
    <t>강준호</t>
  </si>
  <si>
    <t>서울</t>
  </si>
  <si>
    <t>P00002</t>
  </si>
  <si>
    <t>안혜진</t>
  </si>
  <si>
    <t>인천</t>
  </si>
  <si>
    <t>P00003</t>
  </si>
  <si>
    <t>한지민</t>
  </si>
  <si>
    <t>부산</t>
  </si>
  <si>
    <t>P00004</t>
  </si>
  <si>
    <t>유서연</t>
  </si>
  <si>
    <t>P00005</t>
  </si>
  <si>
    <t>정병우</t>
  </si>
  <si>
    <t>광주</t>
  </si>
  <si>
    <t>P00006</t>
  </si>
  <si>
    <t>한지은</t>
  </si>
  <si>
    <t>P00007</t>
  </si>
  <si>
    <t>최방원</t>
  </si>
  <si>
    <t>출신지역이 서울인 학생수</t>
  </si>
  <si>
    <t>[표2]</t>
    <phoneticPr fontId="1" type="noConversion"/>
  </si>
  <si>
    <t>[표3]</t>
  </si>
  <si>
    <t>사원 관리 현황</t>
  </si>
  <si>
    <t>입사년도</t>
  </si>
  <si>
    <t>임시코드</t>
  </si>
  <si>
    <t>지점</t>
  </si>
  <si>
    <t>홍명찬</t>
  </si>
  <si>
    <t>pro535k</t>
  </si>
  <si>
    <t>서혜진</t>
  </si>
  <si>
    <t>pla321d</t>
  </si>
  <si>
    <t>양세완</t>
  </si>
  <si>
    <t>bck220a</t>
  </si>
  <si>
    <t>유도원</t>
  </si>
  <si>
    <t>iuf035e</t>
  </si>
  <si>
    <t>제주</t>
  </si>
  <si>
    <t>최윤희</t>
  </si>
  <si>
    <t>fvh693p</t>
  </si>
  <si>
    <t>허현주</t>
  </si>
  <si>
    <t>ncr722u</t>
  </si>
  <si>
    <t>한세호</t>
  </si>
  <si>
    <t>blc269y</t>
  </si>
  <si>
    <t>노재연</t>
  </si>
  <si>
    <t>nto484l</t>
  </si>
  <si>
    <t>신입사원 관리</t>
    <phoneticPr fontId="1" type="noConversion"/>
  </si>
  <si>
    <t>&lt;부서코드표&gt;</t>
    <phoneticPr fontId="1" type="noConversion"/>
  </si>
  <si>
    <t>사원명</t>
    <phoneticPr fontId="1" type="noConversion"/>
  </si>
  <si>
    <t>임시코드</t>
    <phoneticPr fontId="1" type="noConversion"/>
  </si>
  <si>
    <t>부서명</t>
    <phoneticPr fontId="1" type="noConversion"/>
  </si>
  <si>
    <t>코드</t>
    <phoneticPr fontId="1" type="noConversion"/>
  </si>
  <si>
    <t>전윤주</t>
  </si>
  <si>
    <t>p58482</t>
    <phoneticPr fontId="1" type="noConversion"/>
  </si>
  <si>
    <t>p</t>
    <phoneticPr fontId="1" type="noConversion"/>
  </si>
  <si>
    <t>planning</t>
    <phoneticPr fontId="1" type="noConversion"/>
  </si>
  <si>
    <t>이아현</t>
    <phoneticPr fontId="1" type="noConversion"/>
  </si>
  <si>
    <t>f40175</t>
    <phoneticPr fontId="1" type="noConversion"/>
  </si>
  <si>
    <t>l</t>
    <phoneticPr fontId="1" type="noConversion"/>
  </si>
  <si>
    <t>logistics</t>
    <phoneticPr fontId="1" type="noConversion"/>
  </si>
  <si>
    <t>박대인</t>
  </si>
  <si>
    <t>l93647</t>
    <phoneticPr fontId="1" type="noConversion"/>
  </si>
  <si>
    <t>s</t>
    <phoneticPr fontId="1" type="noConversion"/>
  </si>
  <si>
    <t>sales</t>
    <phoneticPr fontId="1" type="noConversion"/>
  </si>
  <si>
    <t>문정은</t>
  </si>
  <si>
    <t>f38466</t>
    <phoneticPr fontId="1" type="noConversion"/>
  </si>
  <si>
    <t>f</t>
    <phoneticPr fontId="1" type="noConversion"/>
  </si>
  <si>
    <t>finance</t>
    <phoneticPr fontId="1" type="noConversion"/>
  </si>
  <si>
    <t>조수연</t>
  </si>
  <si>
    <t>s75801</t>
    <phoneticPr fontId="1" type="noConversion"/>
  </si>
  <si>
    <t>양이윤</t>
  </si>
  <si>
    <t>p20079</t>
    <phoneticPr fontId="1" type="noConversion"/>
  </si>
  <si>
    <t>신승윤</t>
  </si>
  <si>
    <t>l10663</t>
    <phoneticPr fontId="1" type="noConversion"/>
  </si>
  <si>
    <t>안범준</t>
  </si>
  <si>
    <t>s67168</t>
    <phoneticPr fontId="1" type="noConversion"/>
  </si>
  <si>
    <t>김은소</t>
    <phoneticPr fontId="1" type="noConversion"/>
  </si>
  <si>
    <t>p82011</t>
    <phoneticPr fontId="1" type="noConversion"/>
  </si>
  <si>
    <t>[표4]</t>
    <phoneticPr fontId="1" type="noConversion"/>
  </si>
  <si>
    <t>제품 납품 현황</t>
    <phoneticPr fontId="1" type="noConversion"/>
  </si>
  <si>
    <t>납품일자</t>
    <phoneticPr fontId="1" type="noConversion"/>
  </si>
  <si>
    <t>거래처명</t>
    <phoneticPr fontId="1" type="noConversion"/>
  </si>
  <si>
    <t>납품량</t>
    <phoneticPr fontId="1" type="noConversion"/>
  </si>
  <si>
    <t>납품총액</t>
    <phoneticPr fontId="1" type="noConversion"/>
  </si>
  <si>
    <t>7월23일</t>
    <phoneticPr fontId="1" type="noConversion"/>
  </si>
  <si>
    <t>하나전자</t>
    <phoneticPr fontId="1" type="noConversion"/>
  </si>
  <si>
    <t>우리전자</t>
    <phoneticPr fontId="1" type="noConversion"/>
  </si>
  <si>
    <t>상공전자</t>
    <phoneticPr fontId="1" type="noConversion"/>
  </si>
  <si>
    <t>7월30일</t>
    <phoneticPr fontId="1" type="noConversion"/>
  </si>
  <si>
    <t>8월3일</t>
    <phoneticPr fontId="1" type="noConversion"/>
  </si>
  <si>
    <t>진성전자</t>
    <phoneticPr fontId="1" type="noConversion"/>
  </si>
  <si>
    <t>8월10일</t>
    <phoneticPr fontId="1" type="noConversion"/>
  </si>
  <si>
    <t>최대-최소 납품총액 차이</t>
    <phoneticPr fontId="1" type="noConversion"/>
  </si>
  <si>
    <t>[표5]</t>
    <phoneticPr fontId="1" type="noConversion"/>
  </si>
  <si>
    <t>결과</t>
    <phoneticPr fontId="1" type="noConversion"/>
  </si>
  <si>
    <t>사원코드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</si>
</sst>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0&quot;%&quot;"/>
    <numFmt numFmtId="177" formatCode="0.0"/>
    <numFmt numFmtId="178" formatCode="0.00_ "/>
    <numFmt numFmtId="179" formatCode="&quot;₩&quot;#,##0_);[Red]\(&quot;₩&quot;#,##0\)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i/>
      <u val="doubleAccounting"/>
      <sz val="14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</fonts>
  <fills count="4">
    <fill>
      <patternFill patternType="none"/>
    </fill>
    <fill>
      <patternFill patternType="gray125"/>
    </fill>
    <fill>
      <patternFill patternType="solid">
        <fgColor theme="6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2" fillId="0" borderId="0">
      <alignment vertical="center"/>
    </xf>
    <xf numFmtId="0" fontId="1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4" fillId="0" borderId="0" xfId="0" applyFont="1" applyAlignment="1">
      <alignment horizontal="centerContinuous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3" fillId="2" borderId="2" xfId="2" applyBorder="1" applyAlignment="1">
      <alignment horizontal="center" vertical="center"/>
    </xf>
    <xf numFmtId="0" fontId="3" fillId="2" borderId="3" xfId="2" applyBorder="1" applyAlignment="1">
      <alignment horizontal="center" vertical="center"/>
    </xf>
    <xf numFmtId="0" fontId="3" fillId="2" borderId="4" xfId="2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41" fontId="0" fillId="0" borderId="9" xfId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1" xfId="0" applyNumberFormat="1" applyBorder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0" fillId="3" borderId="1" xfId="0" applyFill="1" applyBorder="1" applyAlignment="1">
      <alignment horizontal="center" vertical="center"/>
    </xf>
    <xf numFmtId="0" fontId="9" fillId="0" borderId="0" xfId="0" applyFont="1">
      <alignment vertical="center"/>
    </xf>
    <xf numFmtId="0" fontId="2" fillId="0" borderId="1" xfId="3" applyBorder="1" applyAlignment="1">
      <alignment horizontal="center" vertical="center"/>
    </xf>
    <xf numFmtId="0" fontId="10" fillId="0" borderId="1" xfId="4" applyBorder="1" applyAlignment="1">
      <alignment horizontal="center" vertical="center"/>
    </xf>
    <xf numFmtId="0" fontId="0" fillId="0" borderId="1" xfId="5" applyNumberFormat="1" applyFont="1" applyBorder="1" applyAlignment="1">
      <alignment horizontal="center" vertical="center"/>
    </xf>
    <xf numFmtId="41" fontId="0" fillId="0" borderId="1" xfId="5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0" fillId="3" borderId="10" xfId="4" applyFill="1" applyBorder="1" applyAlignment="1">
      <alignment horizontal="center" vertical="center"/>
    </xf>
    <xf numFmtId="0" fontId="10" fillId="3" borderId="11" xfId="4" applyFill="1" applyBorder="1" applyAlignment="1">
      <alignment horizontal="center" vertical="center"/>
    </xf>
    <xf numFmtId="0" fontId="10" fillId="3" borderId="12" xfId="4" applyFill="1" applyBorder="1" applyAlignment="1">
      <alignment horizontal="center" vertical="center"/>
    </xf>
  </cellXfs>
  <cellStyles count="6">
    <cellStyle name="강조색3" xfId="2" builtinId="37"/>
    <cellStyle name="쉼표 [0]" xfId="1" builtinId="6"/>
    <cellStyle name="쉼표 [0] 8" xfId="5" xr:uid="{F05C5490-F5FF-4F94-B89B-7B2E11272997}"/>
    <cellStyle name="표준" xfId="0" builtinId="0"/>
    <cellStyle name="표준 2 2" xfId="4" xr:uid="{9A475DAC-B732-4E34-9A2C-8DDE9923F41C}"/>
    <cellStyle name="표준 9" xfId="3" xr:uid="{3D7E9A05-5DC0-4A47-84DF-13EE93F49E1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주요 프로그램 강습인원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4월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(차트작업!$A$4:$A$6,차트작업!$A$8:$A$9)</c:f>
              <c:strCache>
                <c:ptCount val="5"/>
                <c:pt idx="0">
                  <c:v>수영</c:v>
                </c:pt>
                <c:pt idx="1">
                  <c:v>골프</c:v>
                </c:pt>
                <c:pt idx="2">
                  <c:v>테니스</c:v>
                </c:pt>
                <c:pt idx="3">
                  <c:v>배드민턴</c:v>
                </c:pt>
                <c:pt idx="4">
                  <c:v>탁구</c:v>
                </c:pt>
              </c:strCache>
            </c:strRef>
          </c:cat>
          <c:val>
            <c:numRef>
              <c:f>(차트작업!$B$4:$B$6,차트작업!$B$8:$B$9)</c:f>
              <c:numCache>
                <c:formatCode>General</c:formatCode>
                <c:ptCount val="5"/>
                <c:pt idx="0">
                  <c:v>83</c:v>
                </c:pt>
                <c:pt idx="1">
                  <c:v>40</c:v>
                </c:pt>
                <c:pt idx="2">
                  <c:v>37</c:v>
                </c:pt>
                <c:pt idx="3">
                  <c:v>72</c:v>
                </c:pt>
                <c:pt idx="4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1A-437F-B582-84067B3C3BB1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5월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(차트작업!$A$4:$A$6,차트작업!$A$8:$A$9)</c:f>
              <c:strCache>
                <c:ptCount val="5"/>
                <c:pt idx="0">
                  <c:v>수영</c:v>
                </c:pt>
                <c:pt idx="1">
                  <c:v>골프</c:v>
                </c:pt>
                <c:pt idx="2">
                  <c:v>테니스</c:v>
                </c:pt>
                <c:pt idx="3">
                  <c:v>배드민턴</c:v>
                </c:pt>
                <c:pt idx="4">
                  <c:v>탁구</c:v>
                </c:pt>
              </c:strCache>
            </c:strRef>
          </c:cat>
          <c:val>
            <c:numRef>
              <c:f>(차트작업!$C$4:$C$6,차트작업!$C$8:$C$9)</c:f>
              <c:numCache>
                <c:formatCode>General</c:formatCode>
                <c:ptCount val="5"/>
                <c:pt idx="0">
                  <c:v>73</c:v>
                </c:pt>
                <c:pt idx="1">
                  <c:v>45</c:v>
                </c:pt>
                <c:pt idx="2">
                  <c:v>33</c:v>
                </c:pt>
                <c:pt idx="3">
                  <c:v>70</c:v>
                </c:pt>
                <c:pt idx="4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1A-437F-B582-84067B3C3BB1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6월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(차트작업!$A$4:$A$6,차트작업!$A$8:$A$9)</c:f>
              <c:strCache>
                <c:ptCount val="5"/>
                <c:pt idx="0">
                  <c:v>수영</c:v>
                </c:pt>
                <c:pt idx="1">
                  <c:v>골프</c:v>
                </c:pt>
                <c:pt idx="2">
                  <c:v>테니스</c:v>
                </c:pt>
                <c:pt idx="3">
                  <c:v>배드민턴</c:v>
                </c:pt>
                <c:pt idx="4">
                  <c:v>탁구</c:v>
                </c:pt>
              </c:strCache>
            </c:strRef>
          </c:cat>
          <c:val>
            <c:numRef>
              <c:f>(차트작업!$D$4:$D$6,차트작업!$D$8:$D$9)</c:f>
              <c:numCache>
                <c:formatCode>General</c:formatCode>
                <c:ptCount val="5"/>
                <c:pt idx="0">
                  <c:v>84</c:v>
                </c:pt>
                <c:pt idx="1">
                  <c:v>44</c:v>
                </c:pt>
                <c:pt idx="2">
                  <c:v>38</c:v>
                </c:pt>
                <c:pt idx="3">
                  <c:v>65</c:v>
                </c:pt>
                <c:pt idx="4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81A-437F-B582-84067B3C3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75868783"/>
        <c:axId val="175870863"/>
      </c:barChart>
      <c:catAx>
        <c:axId val="175868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870863"/>
        <c:crosses val="autoZero"/>
        <c:auto val="1"/>
        <c:lblAlgn val="ctr"/>
        <c:lblOffset val="100"/>
        <c:noMultiLvlLbl val="0"/>
      </c:catAx>
      <c:valAx>
        <c:axId val="175870863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868783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8</xdr:col>
      <xdr:colOff>0</xdr:colOff>
      <xdr:row>4</xdr:row>
      <xdr:rowOff>0</xdr:rowOff>
    </xdr:to>
    <xdr:sp macro="[0]!총요금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102100" y="482600"/>
          <a:ext cx="1320800" cy="431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총요금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통화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700.673617476852" createdVersion="7" refreshedVersion="7" minRefreshableVersion="3" recordCount="12" xr:uid="{7017DD4F-933D-400F-B151-F4D4C818BCFB}">
  <cacheSource type="worksheet">
    <worksheetSource ref="A3:F15" sheet="분석작업-1"/>
  </cacheSource>
  <cacheFields count="6">
    <cacheField name="사원명" numFmtId="0">
      <sharedItems count="12">
        <s v="윤동해"/>
        <s v="강조은"/>
        <s v="권혜리"/>
        <s v="안대인"/>
        <s v="심원진"/>
        <s v="곽슬빈"/>
        <s v="윤희수"/>
        <s v="전성수"/>
        <s v="곽하율"/>
        <s v="황은영"/>
        <s v="권민준"/>
        <s v="김선호"/>
      </sharedItems>
    </cacheField>
    <cacheField name="부서명" numFmtId="0">
      <sharedItems count="4">
        <s v="영업1팀"/>
        <s v="영업2팀"/>
        <s v="영업3팀"/>
        <s v="영업4팀"/>
      </sharedItems>
    </cacheField>
    <cacheField name="직위" numFmtId="0">
      <sharedItems/>
    </cacheField>
    <cacheField name="전반기" numFmtId="0">
      <sharedItems containsSemiMixedTypes="0" containsString="0" containsNumber="1" containsInteger="1" minValue="371" maxValue="626"/>
    </cacheField>
    <cacheField name="하반기" numFmtId="0">
      <sharedItems containsSemiMixedTypes="0" containsString="0" containsNumber="1" containsInteger="1" minValue="324" maxValue="727"/>
    </cacheField>
    <cacheField name="반품" numFmtId="0">
      <sharedItems containsSemiMixedTypes="0" containsString="0" containsNumber="1" containsInteger="1" minValue="7" maxValue="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s v="과장"/>
    <n v="429"/>
    <n v="527"/>
    <n v="16"/>
  </r>
  <r>
    <x v="1"/>
    <x v="0"/>
    <s v="대리"/>
    <n v="624"/>
    <n v="602"/>
    <n v="7"/>
  </r>
  <r>
    <x v="2"/>
    <x v="0"/>
    <s v="대리"/>
    <n v="551"/>
    <n v="598"/>
    <n v="29"/>
  </r>
  <r>
    <x v="3"/>
    <x v="1"/>
    <s v="부장"/>
    <n v="532"/>
    <n v="469"/>
    <n v="9"/>
  </r>
  <r>
    <x v="4"/>
    <x v="1"/>
    <s v="과장"/>
    <n v="438"/>
    <n v="464"/>
    <n v="15"/>
  </r>
  <r>
    <x v="5"/>
    <x v="1"/>
    <s v="사원"/>
    <n v="399"/>
    <n v="491"/>
    <n v="11"/>
  </r>
  <r>
    <x v="6"/>
    <x v="2"/>
    <s v="과장"/>
    <n v="626"/>
    <n v="651"/>
    <n v="24"/>
  </r>
  <r>
    <x v="7"/>
    <x v="2"/>
    <s v="대리"/>
    <n v="468"/>
    <n v="575"/>
    <n v="12"/>
  </r>
  <r>
    <x v="8"/>
    <x v="2"/>
    <s v="사원"/>
    <n v="530"/>
    <n v="467"/>
    <n v="23"/>
  </r>
  <r>
    <x v="9"/>
    <x v="3"/>
    <s v="부장"/>
    <n v="468"/>
    <n v="421"/>
    <n v="8"/>
  </r>
  <r>
    <x v="10"/>
    <x v="3"/>
    <s v="대리"/>
    <n v="591"/>
    <n v="727"/>
    <n v="21"/>
  </r>
  <r>
    <x v="11"/>
    <x v="3"/>
    <s v="사원"/>
    <n v="371"/>
    <n v="324"/>
    <n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99FDA5-1396-4CA3-AF8B-B62FB52306E4}" name="피벗 테이블1" cacheId="0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>
  <location ref="A20:D25" firstHeaderRow="0" firstDataRow="1" firstDataCol="1" rowPageCount="1" colPageCount="1"/>
  <pivotFields count="6">
    <pivotField axis="axisPage" showAll="0">
      <items count="13">
        <item x="1"/>
        <item x="5"/>
        <item x="8"/>
        <item x="10"/>
        <item x="2"/>
        <item x="11"/>
        <item x="4"/>
        <item x="3"/>
        <item x="0"/>
        <item x="6"/>
        <item x="7"/>
        <item x="9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dataField="1" showAll="0"/>
    <pivotField dataField="1" showAll="0"/>
    <pivotField dataField="1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합계 : 반품" fld="5" baseField="0" baseItem="0"/>
    <dataField name="평균 : 전반기" fld="3" subtotal="average" baseField="1" baseItem="0" numFmtId="178"/>
    <dataField name="평균 : 하반기" fld="4" subtotal="average" baseField="1" baseItem="0" numFmtId="178"/>
  </dataField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A2BF-38A8-4915-8358-C2A615317BEC}">
  <dimension ref="A1:E9"/>
  <sheetViews>
    <sheetView tabSelected="1" workbookViewId="0"/>
  </sheetViews>
  <sheetFormatPr defaultRowHeight="17" x14ac:dyDescent="0.45"/>
  <cols>
    <col min="1" max="1" width="14.33203125" bestFit="1" customWidth="1"/>
    <col min="4" max="4" width="10.58203125" bestFit="1" customWidth="1"/>
  </cols>
  <sheetData>
    <row r="1" spans="1:5" x14ac:dyDescent="0.45">
      <c r="A1" t="s">
        <v>0</v>
      </c>
    </row>
    <row r="3" spans="1:5" x14ac:dyDescent="0.45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</row>
    <row r="4" spans="1:5" x14ac:dyDescent="0.45">
      <c r="A4" s="1" t="s">
        <v>6</v>
      </c>
      <c r="B4" s="1" t="s">
        <v>7</v>
      </c>
      <c r="C4" s="1" t="s">
        <v>8</v>
      </c>
      <c r="D4" s="2">
        <v>460000</v>
      </c>
      <c r="E4" s="1">
        <v>30</v>
      </c>
    </row>
    <row r="5" spans="1:5" x14ac:dyDescent="0.45">
      <c r="A5" s="1" t="s">
        <v>9</v>
      </c>
      <c r="B5" s="1" t="s">
        <v>10</v>
      </c>
      <c r="C5" s="1" t="s">
        <v>11</v>
      </c>
      <c r="D5" s="2">
        <v>580000</v>
      </c>
      <c r="E5" s="1">
        <v>80</v>
      </c>
    </row>
    <row r="6" spans="1:5" x14ac:dyDescent="0.45">
      <c r="A6" s="1" t="s">
        <v>12</v>
      </c>
      <c r="B6" s="1" t="s">
        <v>13</v>
      </c>
      <c r="C6" s="1" t="s">
        <v>14</v>
      </c>
      <c r="D6" s="2">
        <v>973000</v>
      </c>
      <c r="E6" s="1">
        <v>120</v>
      </c>
    </row>
    <row r="7" spans="1:5" x14ac:dyDescent="0.45">
      <c r="A7" s="1" t="s">
        <v>15</v>
      </c>
      <c r="B7" s="1" t="s">
        <v>16</v>
      </c>
      <c r="C7" s="1" t="s">
        <v>17</v>
      </c>
      <c r="D7" s="2">
        <v>300000</v>
      </c>
      <c r="E7" s="1">
        <v>50</v>
      </c>
    </row>
    <row r="8" spans="1:5" x14ac:dyDescent="0.45">
      <c r="A8" s="1" t="s">
        <v>18</v>
      </c>
      <c r="B8" s="1" t="s">
        <v>19</v>
      </c>
      <c r="C8" s="1" t="s">
        <v>20</v>
      </c>
      <c r="D8" s="2">
        <v>1085000</v>
      </c>
      <c r="E8" s="1">
        <v>100</v>
      </c>
    </row>
    <row r="9" spans="1:5" x14ac:dyDescent="0.45">
      <c r="A9" s="1" t="s">
        <v>21</v>
      </c>
      <c r="B9" s="1" t="s">
        <v>22</v>
      </c>
      <c r="C9" s="1" t="s">
        <v>23</v>
      </c>
      <c r="D9" s="2">
        <v>1260000</v>
      </c>
      <c r="E9" s="1">
        <v>60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BB9EE-9499-4E5A-A18C-47A6AC036800}">
  <dimension ref="A1:G11"/>
  <sheetViews>
    <sheetView workbookViewId="0"/>
  </sheetViews>
  <sheetFormatPr defaultRowHeight="17" x14ac:dyDescent="0.45"/>
  <cols>
    <col min="3" max="3" width="10.58203125" bestFit="1" customWidth="1"/>
    <col min="4" max="4" width="9.08203125" bestFit="1" customWidth="1"/>
    <col min="5" max="5" width="10.58203125" bestFit="1" customWidth="1"/>
    <col min="7" max="7" width="10.4140625" bestFit="1" customWidth="1"/>
  </cols>
  <sheetData>
    <row r="1" spans="1:7" ht="30" customHeight="1" x14ac:dyDescent="0.45">
      <c r="A1" s="3" t="s">
        <v>24</v>
      </c>
      <c r="B1" s="3"/>
      <c r="C1" s="3"/>
      <c r="D1" s="3"/>
      <c r="E1" s="3"/>
      <c r="F1" s="3"/>
      <c r="G1" s="3"/>
    </row>
    <row r="2" spans="1:7" ht="17.5" thickBot="1" x14ac:dyDescent="0.5"/>
    <row r="3" spans="1:7" x14ac:dyDescent="0.45">
      <c r="A3" s="7" t="s">
        <v>25</v>
      </c>
      <c r="B3" s="8" t="s">
        <v>26</v>
      </c>
      <c r="C3" s="8" t="s">
        <v>27</v>
      </c>
      <c r="D3" s="8" t="s">
        <v>28</v>
      </c>
      <c r="E3" s="8" t="s">
        <v>29</v>
      </c>
      <c r="F3" s="8" t="s">
        <v>30</v>
      </c>
      <c r="G3" s="9" t="s">
        <v>31</v>
      </c>
    </row>
    <row r="4" spans="1:7" x14ac:dyDescent="0.45">
      <c r="A4" s="29" t="s">
        <v>32</v>
      </c>
      <c r="B4" s="4" t="s">
        <v>33</v>
      </c>
      <c r="C4" s="5">
        <v>6857000</v>
      </c>
      <c r="D4" s="5">
        <v>823000</v>
      </c>
      <c r="E4" s="5">
        <v>6034000</v>
      </c>
      <c r="F4" s="6">
        <v>10</v>
      </c>
      <c r="G4" s="10">
        <v>892000</v>
      </c>
    </row>
    <row r="5" spans="1:7" x14ac:dyDescent="0.45">
      <c r="A5" s="29"/>
      <c r="B5" s="4" t="s">
        <v>34</v>
      </c>
      <c r="C5" s="5">
        <v>5246000</v>
      </c>
      <c r="D5" s="5">
        <v>630000</v>
      </c>
      <c r="E5" s="5">
        <v>4616000</v>
      </c>
      <c r="F5" s="6">
        <v>10</v>
      </c>
      <c r="G5" s="10">
        <v>531000</v>
      </c>
    </row>
    <row r="6" spans="1:7" x14ac:dyDescent="0.45">
      <c r="A6" s="29" t="s">
        <v>35</v>
      </c>
      <c r="B6" s="4" t="s">
        <v>36</v>
      </c>
      <c r="C6" s="5">
        <v>4362000</v>
      </c>
      <c r="D6" s="5">
        <v>349000</v>
      </c>
      <c r="E6" s="5">
        <v>4013000</v>
      </c>
      <c r="F6" s="6">
        <v>7</v>
      </c>
      <c r="G6" s="10">
        <v>304000</v>
      </c>
    </row>
    <row r="7" spans="1:7" x14ac:dyDescent="0.45">
      <c r="A7" s="29"/>
      <c r="B7" s="4" t="s">
        <v>37</v>
      </c>
      <c r="C7" s="5">
        <v>4100000</v>
      </c>
      <c r="D7" s="5">
        <v>328000</v>
      </c>
      <c r="E7" s="5">
        <v>3772000</v>
      </c>
      <c r="F7" s="6">
        <v>7</v>
      </c>
      <c r="G7" s="10">
        <v>322000</v>
      </c>
    </row>
    <row r="8" spans="1:7" x14ac:dyDescent="0.45">
      <c r="A8" s="29" t="s">
        <v>38</v>
      </c>
      <c r="B8" s="4" t="s">
        <v>39</v>
      </c>
      <c r="C8" s="5">
        <v>2880000</v>
      </c>
      <c r="D8" s="5">
        <v>144000</v>
      </c>
      <c r="E8" s="5">
        <v>2736000</v>
      </c>
      <c r="F8" s="6">
        <v>5</v>
      </c>
      <c r="G8" s="10">
        <v>159000</v>
      </c>
    </row>
    <row r="9" spans="1:7" x14ac:dyDescent="0.45">
      <c r="A9" s="29"/>
      <c r="B9" s="4" t="s">
        <v>40</v>
      </c>
      <c r="C9" s="5">
        <v>2524000</v>
      </c>
      <c r="D9" s="5">
        <v>126000</v>
      </c>
      <c r="E9" s="5">
        <v>2398000</v>
      </c>
      <c r="F9" s="6">
        <v>5</v>
      </c>
      <c r="G9" s="10">
        <v>146000</v>
      </c>
    </row>
    <row r="10" spans="1:7" x14ac:dyDescent="0.45">
      <c r="A10" s="29" t="s">
        <v>41</v>
      </c>
      <c r="B10" s="4" t="s">
        <v>42</v>
      </c>
      <c r="C10" s="5">
        <v>893000</v>
      </c>
      <c r="D10" s="5">
        <v>18000</v>
      </c>
      <c r="E10" s="5">
        <v>875000</v>
      </c>
      <c r="F10" s="6">
        <v>2</v>
      </c>
      <c r="G10" s="10">
        <v>22000</v>
      </c>
    </row>
    <row r="11" spans="1:7" ht="17.5" thickBot="1" x14ac:dyDescent="0.5">
      <c r="A11" s="30"/>
      <c r="B11" s="11" t="s">
        <v>43</v>
      </c>
      <c r="C11" s="12">
        <v>571000</v>
      </c>
      <c r="D11" s="12">
        <v>11000</v>
      </c>
      <c r="E11" s="12">
        <v>560000</v>
      </c>
      <c r="F11" s="13">
        <v>2</v>
      </c>
      <c r="G11" s="14">
        <v>35000</v>
      </c>
    </row>
  </sheetData>
  <mergeCells count="4">
    <mergeCell ref="A10:A11"/>
    <mergeCell ref="A8:A9"/>
    <mergeCell ref="A6:A7"/>
    <mergeCell ref="A4:A5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EE921-70C5-4DBF-B5F8-C81DB3097C73}">
  <dimension ref="B2:G16"/>
  <sheetViews>
    <sheetView workbookViewId="0"/>
  </sheetViews>
  <sheetFormatPr defaultRowHeight="17" x14ac:dyDescent="0.45"/>
  <cols>
    <col min="1" max="1" width="3.58203125" customWidth="1"/>
  </cols>
  <sheetData>
    <row r="2" spans="2:7" ht="21" x14ac:dyDescent="0.45">
      <c r="B2" s="31" t="s">
        <v>44</v>
      </c>
      <c r="C2" s="31"/>
      <c r="D2" s="31"/>
      <c r="E2" s="31"/>
      <c r="F2" s="31"/>
      <c r="G2" s="31"/>
    </row>
    <row r="4" spans="2:7" x14ac:dyDescent="0.45">
      <c r="B4" t="s">
        <v>45</v>
      </c>
      <c r="C4" t="s">
        <v>46</v>
      </c>
      <c r="D4" t="s">
        <v>47</v>
      </c>
      <c r="E4" t="s">
        <v>48</v>
      </c>
      <c r="F4" t="s">
        <v>49</v>
      </c>
      <c r="G4" t="s">
        <v>50</v>
      </c>
    </row>
    <row r="5" spans="2:7" x14ac:dyDescent="0.45">
      <c r="B5" t="s">
        <v>51</v>
      </c>
      <c r="C5" t="s">
        <v>52</v>
      </c>
      <c r="D5">
        <v>17.899999999999999</v>
      </c>
      <c r="E5">
        <v>26.9</v>
      </c>
      <c r="F5">
        <v>42.9</v>
      </c>
      <c r="G5">
        <v>70.099999999999994</v>
      </c>
    </row>
    <row r="6" spans="2:7" x14ac:dyDescent="0.45">
      <c r="B6" t="s">
        <v>51</v>
      </c>
      <c r="C6" t="s">
        <v>53</v>
      </c>
      <c r="D6">
        <v>18.2</v>
      </c>
      <c r="E6">
        <v>23.5</v>
      </c>
      <c r="F6">
        <v>44.2</v>
      </c>
      <c r="G6">
        <v>69.3</v>
      </c>
    </row>
    <row r="7" spans="2:7" x14ac:dyDescent="0.45">
      <c r="B7" t="s">
        <v>51</v>
      </c>
      <c r="C7" t="s">
        <v>54</v>
      </c>
      <c r="D7">
        <v>31.2</v>
      </c>
      <c r="E7">
        <v>38.4</v>
      </c>
      <c r="F7">
        <v>64.2</v>
      </c>
      <c r="G7">
        <v>69.400000000000006</v>
      </c>
    </row>
    <row r="8" spans="2:7" x14ac:dyDescent="0.45">
      <c r="B8" t="s">
        <v>55</v>
      </c>
      <c r="C8" t="s">
        <v>52</v>
      </c>
      <c r="D8">
        <v>2.1</v>
      </c>
      <c r="E8">
        <v>5.2</v>
      </c>
      <c r="F8">
        <v>10.6</v>
      </c>
      <c r="G8">
        <v>17.8</v>
      </c>
    </row>
    <row r="9" spans="2:7" x14ac:dyDescent="0.45">
      <c r="B9" t="s">
        <v>55</v>
      </c>
      <c r="C9" t="s">
        <v>53</v>
      </c>
      <c r="D9">
        <v>8.6</v>
      </c>
      <c r="E9">
        <v>9.4</v>
      </c>
      <c r="F9">
        <v>12.4</v>
      </c>
      <c r="G9">
        <v>16.5</v>
      </c>
    </row>
    <row r="10" spans="2:7" x14ac:dyDescent="0.45">
      <c r="B10" t="s">
        <v>55</v>
      </c>
      <c r="C10" t="s">
        <v>54</v>
      </c>
      <c r="D10">
        <v>5.7</v>
      </c>
      <c r="E10">
        <v>8.3000000000000007</v>
      </c>
      <c r="F10">
        <v>13.3</v>
      </c>
      <c r="G10">
        <v>19.8</v>
      </c>
    </row>
    <row r="11" spans="2:7" x14ac:dyDescent="0.45">
      <c r="B11" t="s">
        <v>56</v>
      </c>
      <c r="C11" t="s">
        <v>52</v>
      </c>
      <c r="D11">
        <v>-2.1</v>
      </c>
      <c r="E11">
        <v>0.2</v>
      </c>
      <c r="F11">
        <v>5.4</v>
      </c>
      <c r="G11">
        <v>11.9</v>
      </c>
    </row>
    <row r="12" spans="2:7" x14ac:dyDescent="0.45">
      <c r="B12" t="s">
        <v>56</v>
      </c>
      <c r="C12" t="s">
        <v>53</v>
      </c>
      <c r="D12">
        <v>-1.9</v>
      </c>
      <c r="E12">
        <v>0.6</v>
      </c>
      <c r="F12">
        <v>5.7</v>
      </c>
      <c r="G12">
        <v>12.3</v>
      </c>
    </row>
    <row r="13" spans="2:7" x14ac:dyDescent="0.45">
      <c r="B13" t="s">
        <v>56</v>
      </c>
      <c r="C13" t="s">
        <v>54</v>
      </c>
      <c r="D13">
        <v>0.1</v>
      </c>
      <c r="E13">
        <v>1.9</v>
      </c>
      <c r="F13">
        <v>6.6</v>
      </c>
      <c r="G13">
        <v>12.9</v>
      </c>
    </row>
    <row r="14" spans="2:7" x14ac:dyDescent="0.45">
      <c r="B14" t="s">
        <v>57</v>
      </c>
      <c r="C14" t="s">
        <v>52</v>
      </c>
      <c r="D14">
        <v>58</v>
      </c>
      <c r="E14">
        <v>56</v>
      </c>
      <c r="F14">
        <v>56</v>
      </c>
      <c r="G14">
        <v>55</v>
      </c>
    </row>
    <row r="15" spans="2:7" x14ac:dyDescent="0.45">
      <c r="B15" t="s">
        <v>57</v>
      </c>
      <c r="C15" t="s">
        <v>53</v>
      </c>
      <c r="D15">
        <v>62</v>
      </c>
      <c r="E15">
        <v>59</v>
      </c>
      <c r="F15">
        <v>58</v>
      </c>
      <c r="G15">
        <v>56</v>
      </c>
    </row>
    <row r="16" spans="2:7" x14ac:dyDescent="0.45">
      <c r="B16" t="s">
        <v>57</v>
      </c>
      <c r="C16" t="s">
        <v>54</v>
      </c>
      <c r="D16">
        <v>68</v>
      </c>
      <c r="E16">
        <v>65</v>
      </c>
      <c r="F16">
        <v>62</v>
      </c>
      <c r="G16">
        <v>59</v>
      </c>
    </row>
  </sheetData>
  <mergeCells count="1">
    <mergeCell ref="B2:G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ABF1-A47E-4415-BC4F-3DB907FA8361}">
  <dimension ref="A1:J35"/>
  <sheetViews>
    <sheetView workbookViewId="0"/>
  </sheetViews>
  <sheetFormatPr defaultRowHeight="17" x14ac:dyDescent="0.45"/>
  <cols>
    <col min="4" max="4" width="10.58203125" bestFit="1" customWidth="1"/>
    <col min="5" max="5" width="11.75" bestFit="1" customWidth="1"/>
    <col min="7" max="7" width="10.4140625" bestFit="1" customWidth="1"/>
  </cols>
  <sheetData>
    <row r="1" spans="1:10" x14ac:dyDescent="0.45">
      <c r="A1" s="21" t="s">
        <v>144</v>
      </c>
      <c r="B1" s="22" t="s">
        <v>132</v>
      </c>
      <c r="E1" s="24" t="s">
        <v>168</v>
      </c>
      <c r="F1" s="22" t="s">
        <v>191</v>
      </c>
      <c r="I1" s="35" t="s">
        <v>192</v>
      </c>
      <c r="J1" s="35"/>
    </row>
    <row r="2" spans="1:10" x14ac:dyDescent="0.45">
      <c r="A2" s="4" t="s">
        <v>133</v>
      </c>
      <c r="B2" s="4" t="s">
        <v>134</v>
      </c>
      <c r="C2" s="23" t="s">
        <v>239</v>
      </c>
      <c r="E2" s="4" t="s">
        <v>193</v>
      </c>
      <c r="F2" s="4" t="s">
        <v>194</v>
      </c>
      <c r="G2" s="23" t="s">
        <v>195</v>
      </c>
      <c r="I2" s="4" t="s">
        <v>196</v>
      </c>
      <c r="J2" s="4" t="s">
        <v>195</v>
      </c>
    </row>
    <row r="3" spans="1:10" x14ac:dyDescent="0.45">
      <c r="A3" s="4" t="s">
        <v>135</v>
      </c>
      <c r="B3" s="4">
        <v>91</v>
      </c>
      <c r="C3" s="4" t="str">
        <f>IF(_xlfn.RANK.EQ(B3,$B$3:$B$11)&lt;=3,CHOOSE(_xlfn.RANK.EQ(B3,$B$3:$B$11),"금메달","은메달","동메달"),"")</f>
        <v/>
      </c>
      <c r="E3" s="4" t="s">
        <v>197</v>
      </c>
      <c r="F3" s="4" t="s">
        <v>198</v>
      </c>
      <c r="G3" s="4" t="str">
        <f>UPPER(VLOOKUP(LEFT(F3,1),$I$3:$J$6,2,FALSE))</f>
        <v>PLANNING</v>
      </c>
      <c r="I3" s="4" t="s">
        <v>199</v>
      </c>
      <c r="J3" s="4" t="s">
        <v>200</v>
      </c>
    </row>
    <row r="4" spans="1:10" x14ac:dyDescent="0.45">
      <c r="A4" s="4" t="s">
        <v>136</v>
      </c>
      <c r="B4" s="4">
        <v>95</v>
      </c>
      <c r="C4" s="4" t="str">
        <f t="shared" ref="C4:C11" si="0">IF(_xlfn.RANK.EQ(B4,$B$3:$B$11)&lt;=3,CHOOSE(_xlfn.RANK.EQ(B4,$B$3:$B$11),"금메달","은메달","동메달"),"")</f>
        <v>은메달</v>
      </c>
      <c r="E4" s="4" t="s">
        <v>201</v>
      </c>
      <c r="F4" s="4" t="s">
        <v>202</v>
      </c>
      <c r="G4" s="4" t="str">
        <f t="shared" ref="G4:G11" si="1">UPPER(VLOOKUP(LEFT(F4,1),$I$3:$J$6,2,FALSE))</f>
        <v>FINANCE</v>
      </c>
      <c r="I4" s="4" t="s">
        <v>203</v>
      </c>
      <c r="J4" s="4" t="s">
        <v>204</v>
      </c>
    </row>
    <row r="5" spans="1:10" x14ac:dyDescent="0.45">
      <c r="A5" s="4" t="s">
        <v>137</v>
      </c>
      <c r="B5" s="4">
        <v>86</v>
      </c>
      <c r="C5" s="4" t="str">
        <f t="shared" si="0"/>
        <v/>
      </c>
      <c r="E5" s="4" t="s">
        <v>205</v>
      </c>
      <c r="F5" s="4" t="s">
        <v>206</v>
      </c>
      <c r="G5" s="4" t="str">
        <f t="shared" si="1"/>
        <v>LOGISTICS</v>
      </c>
      <c r="I5" s="4" t="s">
        <v>207</v>
      </c>
      <c r="J5" s="4" t="s">
        <v>208</v>
      </c>
    </row>
    <row r="6" spans="1:10" x14ac:dyDescent="0.45">
      <c r="A6" s="4" t="s">
        <v>138</v>
      </c>
      <c r="B6" s="4">
        <v>86</v>
      </c>
      <c r="C6" s="4" t="str">
        <f t="shared" si="0"/>
        <v/>
      </c>
      <c r="E6" s="4" t="s">
        <v>209</v>
      </c>
      <c r="F6" s="4" t="s">
        <v>210</v>
      </c>
      <c r="G6" s="4" t="str">
        <f t="shared" si="1"/>
        <v>FINANCE</v>
      </c>
      <c r="I6" s="4" t="s">
        <v>211</v>
      </c>
      <c r="J6" s="4" t="s">
        <v>212</v>
      </c>
    </row>
    <row r="7" spans="1:10" x14ac:dyDescent="0.45">
      <c r="A7" s="4" t="s">
        <v>139</v>
      </c>
      <c r="B7" s="4">
        <v>98</v>
      </c>
      <c r="C7" s="4" t="str">
        <f t="shared" si="0"/>
        <v>금메달</v>
      </c>
      <c r="E7" s="4" t="s">
        <v>213</v>
      </c>
      <c r="F7" s="4" t="s">
        <v>214</v>
      </c>
      <c r="G7" s="4" t="str">
        <f t="shared" si="1"/>
        <v>SALES</v>
      </c>
    </row>
    <row r="8" spans="1:10" x14ac:dyDescent="0.45">
      <c r="A8" s="4" t="s">
        <v>140</v>
      </c>
      <c r="B8" s="4">
        <v>90</v>
      </c>
      <c r="C8" s="4" t="str">
        <f t="shared" si="0"/>
        <v/>
      </c>
      <c r="E8" s="4" t="s">
        <v>215</v>
      </c>
      <c r="F8" s="4" t="s">
        <v>216</v>
      </c>
      <c r="G8" s="4" t="str">
        <f t="shared" si="1"/>
        <v>PLANNING</v>
      </c>
    </row>
    <row r="9" spans="1:10" x14ac:dyDescent="0.45">
      <c r="A9" s="4" t="s">
        <v>141</v>
      </c>
      <c r="B9" s="4">
        <v>86</v>
      </c>
      <c r="C9" s="4" t="str">
        <f t="shared" si="0"/>
        <v/>
      </c>
      <c r="E9" s="4" t="s">
        <v>217</v>
      </c>
      <c r="F9" s="4" t="s">
        <v>218</v>
      </c>
      <c r="G9" s="4" t="str">
        <f t="shared" si="1"/>
        <v>LOGISTICS</v>
      </c>
    </row>
    <row r="10" spans="1:10" x14ac:dyDescent="0.45">
      <c r="A10" s="4" t="s">
        <v>142</v>
      </c>
      <c r="B10" s="4">
        <v>94</v>
      </c>
      <c r="C10" s="4" t="str">
        <f t="shared" si="0"/>
        <v>동메달</v>
      </c>
      <c r="E10" s="4" t="s">
        <v>219</v>
      </c>
      <c r="F10" s="4" t="s">
        <v>220</v>
      </c>
      <c r="G10" s="4" t="str">
        <f t="shared" si="1"/>
        <v>SALES</v>
      </c>
    </row>
    <row r="11" spans="1:10" x14ac:dyDescent="0.45">
      <c r="A11" s="4" t="s">
        <v>143</v>
      </c>
      <c r="B11" s="4">
        <v>88</v>
      </c>
      <c r="C11" s="4" t="str">
        <f t="shared" si="0"/>
        <v/>
      </c>
      <c r="E11" s="4" t="s">
        <v>221</v>
      </c>
      <c r="F11" s="4" t="s">
        <v>222</v>
      </c>
      <c r="G11" s="4" t="str">
        <f t="shared" si="1"/>
        <v>PLANNING</v>
      </c>
    </row>
    <row r="13" spans="1:10" x14ac:dyDescent="0.45">
      <c r="A13" s="24" t="s">
        <v>169</v>
      </c>
      <c r="B13" s="22" t="s">
        <v>170</v>
      </c>
      <c r="G13" s="24" t="s">
        <v>223</v>
      </c>
      <c r="H13" s="22" t="s">
        <v>145</v>
      </c>
    </row>
    <row r="14" spans="1:10" x14ac:dyDescent="0.45">
      <c r="A14" s="4" t="s">
        <v>59</v>
      </c>
      <c r="B14" s="4" t="s">
        <v>171</v>
      </c>
      <c r="C14" s="4" t="s">
        <v>172</v>
      </c>
      <c r="D14" s="4" t="s">
        <v>173</v>
      </c>
      <c r="E14" s="23" t="s">
        <v>240</v>
      </c>
      <c r="G14" s="4" t="s">
        <v>146</v>
      </c>
      <c r="H14" s="4" t="s">
        <v>86</v>
      </c>
      <c r="I14" s="4" t="s">
        <v>147</v>
      </c>
      <c r="J14" s="4" t="s">
        <v>148</v>
      </c>
    </row>
    <row r="15" spans="1:10" x14ac:dyDescent="0.45">
      <c r="A15" s="4" t="s">
        <v>174</v>
      </c>
      <c r="B15" s="4">
        <v>2022</v>
      </c>
      <c r="C15" s="4" t="s">
        <v>175</v>
      </c>
      <c r="D15" s="4" t="s">
        <v>151</v>
      </c>
      <c r="E15" s="4" t="str">
        <f>UPPER(LEFT(C15,3)&amp;"-"&amp;B15&amp;"-"&amp;RIGHT(C15,1))</f>
        <v>PRO-2022-K</v>
      </c>
      <c r="G15" s="4" t="s">
        <v>149</v>
      </c>
      <c r="H15" s="4" t="s">
        <v>150</v>
      </c>
      <c r="I15" s="4" t="s">
        <v>151</v>
      </c>
      <c r="J15" s="4">
        <v>86</v>
      </c>
    </row>
    <row r="16" spans="1:10" x14ac:dyDescent="0.45">
      <c r="A16" s="4" t="s">
        <v>176</v>
      </c>
      <c r="B16" s="4">
        <v>2021</v>
      </c>
      <c r="C16" s="4" t="s">
        <v>177</v>
      </c>
      <c r="D16" s="4" t="s">
        <v>157</v>
      </c>
      <c r="E16" s="4" t="str">
        <f t="shared" ref="E16:E22" si="2">UPPER(LEFT(C16,3)&amp;"-"&amp;B16&amp;"-"&amp;RIGHT(C16,1))</f>
        <v>PLA-2021-D</v>
      </c>
      <c r="G16" s="4" t="s">
        <v>152</v>
      </c>
      <c r="H16" s="4" t="s">
        <v>153</v>
      </c>
      <c r="I16" s="4" t="s">
        <v>154</v>
      </c>
      <c r="J16" s="4">
        <v>91</v>
      </c>
    </row>
    <row r="17" spans="1:10" x14ac:dyDescent="0.45">
      <c r="A17" s="4" t="s">
        <v>178</v>
      </c>
      <c r="B17" s="4">
        <v>2020</v>
      </c>
      <c r="C17" s="4" t="s">
        <v>179</v>
      </c>
      <c r="D17" s="4" t="s">
        <v>151</v>
      </c>
      <c r="E17" s="4" t="str">
        <f t="shared" si="2"/>
        <v>BCK-2020-A</v>
      </c>
      <c r="G17" s="4" t="s">
        <v>155</v>
      </c>
      <c r="H17" s="4" t="s">
        <v>156</v>
      </c>
      <c r="I17" s="4" t="s">
        <v>157</v>
      </c>
      <c r="J17" s="4">
        <v>75</v>
      </c>
    </row>
    <row r="18" spans="1:10" x14ac:dyDescent="0.45">
      <c r="A18" s="4" t="s">
        <v>180</v>
      </c>
      <c r="B18" s="4">
        <v>2024</v>
      </c>
      <c r="C18" s="4" t="s">
        <v>181</v>
      </c>
      <c r="D18" s="4" t="s">
        <v>182</v>
      </c>
      <c r="E18" s="4" t="str">
        <f t="shared" si="2"/>
        <v>IUF-2024-E</v>
      </c>
      <c r="G18" s="4" t="s">
        <v>158</v>
      </c>
      <c r="H18" s="4" t="s">
        <v>159</v>
      </c>
      <c r="I18" s="4" t="s">
        <v>151</v>
      </c>
      <c r="J18" s="4">
        <v>69</v>
      </c>
    </row>
    <row r="19" spans="1:10" x14ac:dyDescent="0.45">
      <c r="A19" s="4" t="s">
        <v>183</v>
      </c>
      <c r="B19" s="4">
        <v>2023</v>
      </c>
      <c r="C19" s="4" t="s">
        <v>184</v>
      </c>
      <c r="D19" s="4" t="s">
        <v>151</v>
      </c>
      <c r="E19" s="4" t="str">
        <f t="shared" si="2"/>
        <v>FVH-2023-P</v>
      </c>
      <c r="G19" s="4" t="s">
        <v>160</v>
      </c>
      <c r="H19" s="4" t="s">
        <v>161</v>
      </c>
      <c r="I19" s="4" t="s">
        <v>162</v>
      </c>
      <c r="J19" s="4">
        <v>95</v>
      </c>
    </row>
    <row r="20" spans="1:10" x14ac:dyDescent="0.45">
      <c r="A20" s="4" t="s">
        <v>185</v>
      </c>
      <c r="B20" s="4">
        <v>2021</v>
      </c>
      <c r="C20" s="4" t="s">
        <v>186</v>
      </c>
      <c r="D20" s="4" t="s">
        <v>157</v>
      </c>
      <c r="E20" s="4" t="str">
        <f t="shared" si="2"/>
        <v>NCR-2021-U</v>
      </c>
      <c r="G20" s="4" t="s">
        <v>163</v>
      </c>
      <c r="H20" s="4" t="s">
        <v>164</v>
      </c>
      <c r="I20" s="4" t="s">
        <v>157</v>
      </c>
      <c r="J20" s="4">
        <v>82</v>
      </c>
    </row>
    <row r="21" spans="1:10" x14ac:dyDescent="0.45">
      <c r="A21" s="4" t="s">
        <v>187</v>
      </c>
      <c r="B21" s="4">
        <v>2023</v>
      </c>
      <c r="C21" s="4" t="s">
        <v>188</v>
      </c>
      <c r="D21" s="4" t="s">
        <v>182</v>
      </c>
      <c r="E21" s="4" t="str">
        <f t="shared" si="2"/>
        <v>BLC-2023-Y</v>
      </c>
      <c r="G21" s="4" t="s">
        <v>165</v>
      </c>
      <c r="H21" s="4" t="s">
        <v>166</v>
      </c>
      <c r="I21" s="4" t="s">
        <v>154</v>
      </c>
      <c r="J21" s="4">
        <v>79</v>
      </c>
    </row>
    <row r="22" spans="1:10" x14ac:dyDescent="0.45">
      <c r="A22" s="4" t="s">
        <v>189</v>
      </c>
      <c r="B22" s="4">
        <v>2021</v>
      </c>
      <c r="C22" s="4" t="s">
        <v>190</v>
      </c>
      <c r="D22" s="4" t="s">
        <v>157</v>
      </c>
      <c r="E22" s="4" t="str">
        <f t="shared" si="2"/>
        <v>NTO-2021-L</v>
      </c>
      <c r="G22" s="32" t="s">
        <v>167</v>
      </c>
      <c r="H22" s="33"/>
      <c r="I22" s="34"/>
      <c r="J22" s="4" t="str">
        <f>COUNTIF(I15:I21,"서울")&amp;"명"</f>
        <v>2명</v>
      </c>
    </row>
    <row r="24" spans="1:10" x14ac:dyDescent="0.45">
      <c r="A24" s="24" t="s">
        <v>238</v>
      </c>
      <c r="B24" s="22" t="s">
        <v>224</v>
      </c>
    </row>
    <row r="25" spans="1:10" x14ac:dyDescent="0.45">
      <c r="A25" s="25" t="s">
        <v>225</v>
      </c>
      <c r="B25" s="25" t="s">
        <v>226</v>
      </c>
      <c r="C25" s="25" t="s">
        <v>227</v>
      </c>
      <c r="D25" s="25" t="s">
        <v>228</v>
      </c>
    </row>
    <row r="26" spans="1:10" x14ac:dyDescent="0.45">
      <c r="A26" s="26" t="s">
        <v>229</v>
      </c>
      <c r="B26" s="26" t="s">
        <v>230</v>
      </c>
      <c r="C26" s="27">
        <v>480</v>
      </c>
      <c r="D26" s="28">
        <v>2640000</v>
      </c>
    </row>
    <row r="27" spans="1:10" x14ac:dyDescent="0.45">
      <c r="A27" s="26" t="s">
        <v>229</v>
      </c>
      <c r="B27" s="26" t="s">
        <v>231</v>
      </c>
      <c r="C27" s="27">
        <v>650</v>
      </c>
      <c r="D27" s="28">
        <v>3575000</v>
      </c>
    </row>
    <row r="28" spans="1:10" x14ac:dyDescent="0.45">
      <c r="A28" s="26" t="s">
        <v>229</v>
      </c>
      <c r="B28" s="26" t="s">
        <v>232</v>
      </c>
      <c r="C28" s="27">
        <v>450</v>
      </c>
      <c r="D28" s="28">
        <v>2475000</v>
      </c>
    </row>
    <row r="29" spans="1:10" x14ac:dyDescent="0.45">
      <c r="A29" s="26" t="s">
        <v>233</v>
      </c>
      <c r="B29" s="26" t="s">
        <v>230</v>
      </c>
      <c r="C29" s="27">
        <v>590</v>
      </c>
      <c r="D29" s="28">
        <v>3245000</v>
      </c>
    </row>
    <row r="30" spans="1:10" x14ac:dyDescent="0.45">
      <c r="A30" s="26" t="s">
        <v>233</v>
      </c>
      <c r="B30" s="26" t="s">
        <v>231</v>
      </c>
      <c r="C30" s="27">
        <v>550</v>
      </c>
      <c r="D30" s="28">
        <v>3025000</v>
      </c>
    </row>
    <row r="31" spans="1:10" x14ac:dyDescent="0.45">
      <c r="A31" s="26" t="s">
        <v>234</v>
      </c>
      <c r="B31" s="26" t="s">
        <v>235</v>
      </c>
      <c r="C31" s="27">
        <v>620</v>
      </c>
      <c r="D31" s="28">
        <v>3410000</v>
      </c>
    </row>
    <row r="32" spans="1:10" x14ac:dyDescent="0.45">
      <c r="A32" s="26" t="s">
        <v>234</v>
      </c>
      <c r="B32" s="26" t="s">
        <v>232</v>
      </c>
      <c r="C32" s="27">
        <v>500</v>
      </c>
      <c r="D32" s="28">
        <v>2750000</v>
      </c>
    </row>
    <row r="33" spans="1:4" x14ac:dyDescent="0.45">
      <c r="A33" s="26" t="s">
        <v>236</v>
      </c>
      <c r="B33" s="26" t="s">
        <v>231</v>
      </c>
      <c r="C33" s="27">
        <v>680</v>
      </c>
      <c r="D33" s="28">
        <v>3740000</v>
      </c>
    </row>
    <row r="34" spans="1:4" x14ac:dyDescent="0.45">
      <c r="A34" s="26" t="s">
        <v>236</v>
      </c>
      <c r="B34" s="26" t="s">
        <v>235</v>
      </c>
      <c r="C34" s="27">
        <v>470</v>
      </c>
      <c r="D34" s="28">
        <v>2585000</v>
      </c>
    </row>
    <row r="35" spans="1:4" x14ac:dyDescent="0.45">
      <c r="A35" s="36" t="s">
        <v>237</v>
      </c>
      <c r="B35" s="37"/>
      <c r="C35" s="38"/>
      <c r="D35" s="28">
        <f>LARGE(D26:D34,1)-SMALL(D26:D34,1)</f>
        <v>1265000</v>
      </c>
    </row>
  </sheetData>
  <mergeCells count="3">
    <mergeCell ref="G22:I22"/>
    <mergeCell ref="I1:J1"/>
    <mergeCell ref="A35:C35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754DE-EEBA-4AB4-BCEE-4BD6B0D45974}">
  <dimension ref="A1:F25"/>
  <sheetViews>
    <sheetView workbookViewId="0">
      <selection sqref="A1:F1"/>
    </sheetView>
  </sheetViews>
  <sheetFormatPr defaultRowHeight="17" x14ac:dyDescent="0.45"/>
  <cols>
    <col min="1" max="1" width="11.25" bestFit="1" customWidth="1"/>
    <col min="2" max="2" width="10.25" bestFit="1" customWidth="1"/>
    <col min="3" max="4" width="12.25" bestFit="1" customWidth="1"/>
  </cols>
  <sheetData>
    <row r="1" spans="1:6" ht="21" x14ac:dyDescent="0.45">
      <c r="A1" s="31" t="s">
        <v>58</v>
      </c>
      <c r="B1" s="31"/>
      <c r="C1" s="31"/>
      <c r="D1" s="31"/>
      <c r="E1" s="31"/>
      <c r="F1" s="31"/>
    </row>
    <row r="3" spans="1:6" x14ac:dyDescent="0.45">
      <c r="A3" s="4" t="s">
        <v>59</v>
      </c>
      <c r="B3" s="4" t="s">
        <v>60</v>
      </c>
      <c r="C3" s="4" t="s">
        <v>61</v>
      </c>
      <c r="D3" s="4" t="s">
        <v>62</v>
      </c>
      <c r="E3" s="4" t="s">
        <v>63</v>
      </c>
      <c r="F3" s="4" t="s">
        <v>64</v>
      </c>
    </row>
    <row r="4" spans="1:6" x14ac:dyDescent="0.45">
      <c r="A4" s="4" t="s">
        <v>65</v>
      </c>
      <c r="B4" s="4" t="s">
        <v>66</v>
      </c>
      <c r="C4" s="4" t="s">
        <v>67</v>
      </c>
      <c r="D4" s="4">
        <v>429</v>
      </c>
      <c r="E4" s="4">
        <v>527</v>
      </c>
      <c r="F4" s="4">
        <v>16</v>
      </c>
    </row>
    <row r="5" spans="1:6" x14ac:dyDescent="0.45">
      <c r="A5" s="4" t="s">
        <v>68</v>
      </c>
      <c r="B5" s="4" t="s">
        <v>66</v>
      </c>
      <c r="C5" s="4" t="s">
        <v>69</v>
      </c>
      <c r="D5" s="4">
        <v>624</v>
      </c>
      <c r="E5" s="4">
        <v>602</v>
      </c>
      <c r="F5" s="4">
        <v>7</v>
      </c>
    </row>
    <row r="6" spans="1:6" x14ac:dyDescent="0.45">
      <c r="A6" s="4" t="s">
        <v>70</v>
      </c>
      <c r="B6" s="4" t="s">
        <v>66</v>
      </c>
      <c r="C6" s="4" t="s">
        <v>69</v>
      </c>
      <c r="D6" s="4">
        <v>551</v>
      </c>
      <c r="E6" s="4">
        <v>598</v>
      </c>
      <c r="F6" s="4">
        <v>29</v>
      </c>
    </row>
    <row r="7" spans="1:6" x14ac:dyDescent="0.45">
      <c r="A7" s="4" t="s">
        <v>71</v>
      </c>
      <c r="B7" s="4" t="s">
        <v>72</v>
      </c>
      <c r="C7" s="4" t="s">
        <v>73</v>
      </c>
      <c r="D7" s="4">
        <v>532</v>
      </c>
      <c r="E7" s="4">
        <v>469</v>
      </c>
      <c r="F7" s="4">
        <v>9</v>
      </c>
    </row>
    <row r="8" spans="1:6" x14ac:dyDescent="0.45">
      <c r="A8" s="4" t="s">
        <v>74</v>
      </c>
      <c r="B8" s="4" t="s">
        <v>72</v>
      </c>
      <c r="C8" s="4" t="s">
        <v>67</v>
      </c>
      <c r="D8" s="4">
        <v>438</v>
      </c>
      <c r="E8" s="4">
        <v>464</v>
      </c>
      <c r="F8" s="4">
        <v>15</v>
      </c>
    </row>
    <row r="9" spans="1:6" x14ac:dyDescent="0.45">
      <c r="A9" s="4" t="s">
        <v>75</v>
      </c>
      <c r="B9" s="4" t="s">
        <v>72</v>
      </c>
      <c r="C9" s="4" t="s">
        <v>76</v>
      </c>
      <c r="D9" s="4">
        <v>399</v>
      </c>
      <c r="E9" s="4">
        <v>491</v>
      </c>
      <c r="F9" s="4">
        <v>11</v>
      </c>
    </row>
    <row r="10" spans="1:6" x14ac:dyDescent="0.45">
      <c r="A10" s="4" t="s">
        <v>77</v>
      </c>
      <c r="B10" s="4" t="s">
        <v>78</v>
      </c>
      <c r="C10" s="4" t="s">
        <v>67</v>
      </c>
      <c r="D10" s="4">
        <v>626</v>
      </c>
      <c r="E10" s="4">
        <v>651</v>
      </c>
      <c r="F10" s="4">
        <v>24</v>
      </c>
    </row>
    <row r="11" spans="1:6" x14ac:dyDescent="0.45">
      <c r="A11" s="4" t="s">
        <v>79</v>
      </c>
      <c r="B11" s="4" t="s">
        <v>78</v>
      </c>
      <c r="C11" s="4" t="s">
        <v>69</v>
      </c>
      <c r="D11" s="4">
        <v>468</v>
      </c>
      <c r="E11" s="4">
        <v>575</v>
      </c>
      <c r="F11" s="4">
        <v>12</v>
      </c>
    </row>
    <row r="12" spans="1:6" x14ac:dyDescent="0.45">
      <c r="A12" s="4" t="s">
        <v>80</v>
      </c>
      <c r="B12" s="4" t="s">
        <v>78</v>
      </c>
      <c r="C12" s="4" t="s">
        <v>76</v>
      </c>
      <c r="D12" s="4">
        <v>530</v>
      </c>
      <c r="E12" s="4">
        <v>467</v>
      </c>
      <c r="F12" s="4">
        <v>23</v>
      </c>
    </row>
    <row r="13" spans="1:6" x14ac:dyDescent="0.45">
      <c r="A13" s="4" t="s">
        <v>81</v>
      </c>
      <c r="B13" s="4" t="s">
        <v>82</v>
      </c>
      <c r="C13" s="4" t="s">
        <v>73</v>
      </c>
      <c r="D13" s="4">
        <v>468</v>
      </c>
      <c r="E13" s="4">
        <v>421</v>
      </c>
      <c r="F13" s="4">
        <v>8</v>
      </c>
    </row>
    <row r="14" spans="1:6" x14ac:dyDescent="0.45">
      <c r="A14" s="4" t="s">
        <v>83</v>
      </c>
      <c r="B14" s="4" t="s">
        <v>82</v>
      </c>
      <c r="C14" s="4" t="s">
        <v>69</v>
      </c>
      <c r="D14" s="4">
        <v>591</v>
      </c>
      <c r="E14" s="4">
        <v>727</v>
      </c>
      <c r="F14" s="4">
        <v>21</v>
      </c>
    </row>
    <row r="15" spans="1:6" x14ac:dyDescent="0.45">
      <c r="A15" s="4" t="s">
        <v>84</v>
      </c>
      <c r="B15" s="4" t="s">
        <v>82</v>
      </c>
      <c r="C15" s="4" t="s">
        <v>76</v>
      </c>
      <c r="D15" s="4">
        <v>371</v>
      </c>
      <c r="E15" s="4">
        <v>324</v>
      </c>
      <c r="F15" s="4">
        <v>18</v>
      </c>
    </row>
    <row r="18" spans="1:4" x14ac:dyDescent="0.45">
      <c r="A18" s="16" t="s">
        <v>59</v>
      </c>
      <c r="B18" t="s">
        <v>104</v>
      </c>
    </row>
    <row r="20" spans="1:4" x14ac:dyDescent="0.45">
      <c r="A20" s="16" t="s">
        <v>105</v>
      </c>
      <c r="B20" t="s">
        <v>107</v>
      </c>
      <c r="C20" t="s">
        <v>108</v>
      </c>
      <c r="D20" t="s">
        <v>109</v>
      </c>
    </row>
    <row r="21" spans="1:4" x14ac:dyDescent="0.45">
      <c r="A21" s="17" t="s">
        <v>66</v>
      </c>
      <c r="B21" s="18">
        <v>52</v>
      </c>
      <c r="C21" s="19">
        <v>534.66666666666663</v>
      </c>
      <c r="D21" s="19">
        <v>575.66666666666663</v>
      </c>
    </row>
    <row r="22" spans="1:4" x14ac:dyDescent="0.45">
      <c r="A22" s="17" t="s">
        <v>72</v>
      </c>
      <c r="B22" s="18">
        <v>35</v>
      </c>
      <c r="C22" s="19">
        <v>456.33333333333331</v>
      </c>
      <c r="D22" s="19">
        <v>474.66666666666669</v>
      </c>
    </row>
    <row r="23" spans="1:4" x14ac:dyDescent="0.45">
      <c r="A23" s="17" t="s">
        <v>78</v>
      </c>
      <c r="B23" s="18">
        <v>59</v>
      </c>
      <c r="C23" s="19">
        <v>541.33333333333337</v>
      </c>
      <c r="D23" s="19">
        <v>564.33333333333337</v>
      </c>
    </row>
    <row r="24" spans="1:4" x14ac:dyDescent="0.45">
      <c r="A24" s="17" t="s">
        <v>82</v>
      </c>
      <c r="B24" s="18">
        <v>47</v>
      </c>
      <c r="C24" s="19">
        <v>476.66666666666669</v>
      </c>
      <c r="D24" s="19">
        <v>490.66666666666669</v>
      </c>
    </row>
    <row r="25" spans="1:4" x14ac:dyDescent="0.45">
      <c r="A25" s="17" t="s">
        <v>106</v>
      </c>
      <c r="B25" s="18">
        <v>193</v>
      </c>
      <c r="C25" s="19">
        <v>502.25</v>
      </c>
      <c r="D25" s="19">
        <v>526.33333333333337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95565-00EF-45F7-8D90-3E7DA06CFC00}">
  <dimension ref="A1:G12"/>
  <sheetViews>
    <sheetView workbookViewId="0">
      <selection sqref="A1:G1"/>
    </sheetView>
  </sheetViews>
  <sheetFormatPr defaultRowHeight="17" x14ac:dyDescent="0.45"/>
  <sheetData>
    <row r="1" spans="1:7" ht="21" x14ac:dyDescent="0.45">
      <c r="A1" s="31" t="s">
        <v>85</v>
      </c>
      <c r="B1" s="31"/>
      <c r="C1" s="31"/>
      <c r="D1" s="31"/>
      <c r="E1" s="31"/>
      <c r="F1" s="31"/>
      <c r="G1" s="31"/>
    </row>
    <row r="3" spans="1:7" x14ac:dyDescent="0.45">
      <c r="A3" s="4" t="s">
        <v>86</v>
      </c>
      <c r="B3" s="4" t="s">
        <v>60</v>
      </c>
      <c r="C3" s="4" t="s">
        <v>87</v>
      </c>
      <c r="D3" s="4" t="s">
        <v>88</v>
      </c>
      <c r="E3" s="4" t="s">
        <v>89</v>
      </c>
      <c r="F3" s="4" t="s">
        <v>90</v>
      </c>
      <c r="G3" s="4" t="s">
        <v>91</v>
      </c>
    </row>
    <row r="4" spans="1:7" x14ac:dyDescent="0.45">
      <c r="A4" s="4" t="s">
        <v>92</v>
      </c>
      <c r="B4" s="4" t="s">
        <v>93</v>
      </c>
      <c r="C4" s="4">
        <v>79</v>
      </c>
      <c r="D4" s="4">
        <v>77</v>
      </c>
      <c r="E4" s="4">
        <v>84</v>
      </c>
      <c r="F4" s="4">
        <v>73</v>
      </c>
      <c r="G4" s="15">
        <f>AVERAGE(C4:F4)</f>
        <v>78.25</v>
      </c>
    </row>
    <row r="5" spans="1:7" x14ac:dyDescent="0.45">
      <c r="A5" s="4" t="s">
        <v>94</v>
      </c>
      <c r="B5" s="4" t="s">
        <v>95</v>
      </c>
      <c r="C5" s="4">
        <v>83</v>
      </c>
      <c r="D5" s="4">
        <v>91</v>
      </c>
      <c r="E5" s="4">
        <v>90</v>
      </c>
      <c r="F5" s="4">
        <v>89</v>
      </c>
      <c r="G5" s="15">
        <f t="shared" ref="G5:G12" si="0">AVERAGE(C5:F5)</f>
        <v>88.25</v>
      </c>
    </row>
    <row r="6" spans="1:7" x14ac:dyDescent="0.45">
      <c r="A6" s="4" t="s">
        <v>96</v>
      </c>
      <c r="B6" s="4" t="s">
        <v>97</v>
      </c>
      <c r="C6" s="4">
        <v>94</v>
      </c>
      <c r="D6" s="4">
        <v>95</v>
      </c>
      <c r="E6" s="4">
        <v>96</v>
      </c>
      <c r="F6" s="4">
        <v>97</v>
      </c>
      <c r="G6" s="15">
        <f t="shared" si="0"/>
        <v>95.5</v>
      </c>
    </row>
    <row r="7" spans="1:7" x14ac:dyDescent="0.45">
      <c r="A7" s="4" t="s">
        <v>98</v>
      </c>
      <c r="B7" s="4" t="s">
        <v>95</v>
      </c>
      <c r="C7" s="4">
        <v>92</v>
      </c>
      <c r="D7" s="4">
        <v>90</v>
      </c>
      <c r="E7" s="4">
        <v>93</v>
      </c>
      <c r="F7" s="4">
        <v>91</v>
      </c>
      <c r="G7" s="15">
        <f t="shared" si="0"/>
        <v>91.5</v>
      </c>
    </row>
    <row r="8" spans="1:7" x14ac:dyDescent="0.45">
      <c r="A8" s="4" t="s">
        <v>99</v>
      </c>
      <c r="B8" s="4" t="s">
        <v>97</v>
      </c>
      <c r="C8" s="4">
        <v>95</v>
      </c>
      <c r="D8" s="4">
        <v>93</v>
      </c>
      <c r="E8" s="4">
        <v>83</v>
      </c>
      <c r="F8" s="4">
        <v>89</v>
      </c>
      <c r="G8" s="15">
        <f t="shared" si="0"/>
        <v>90</v>
      </c>
    </row>
    <row r="9" spans="1:7" x14ac:dyDescent="0.45">
      <c r="A9" s="4" t="s">
        <v>100</v>
      </c>
      <c r="B9" s="4" t="s">
        <v>93</v>
      </c>
      <c r="C9" s="4">
        <v>91</v>
      </c>
      <c r="D9" s="4">
        <v>94</v>
      </c>
      <c r="E9" s="4">
        <v>88</v>
      </c>
      <c r="F9" s="4">
        <v>90</v>
      </c>
      <c r="G9" s="15">
        <f t="shared" si="0"/>
        <v>90.75</v>
      </c>
    </row>
    <row r="10" spans="1:7" x14ac:dyDescent="0.45">
      <c r="A10" s="4" t="s">
        <v>101</v>
      </c>
      <c r="B10" s="4" t="s">
        <v>93</v>
      </c>
      <c r="C10" s="4">
        <v>83</v>
      </c>
      <c r="D10" s="4">
        <v>76</v>
      </c>
      <c r="E10" s="4">
        <v>80</v>
      </c>
      <c r="F10" s="4">
        <v>92</v>
      </c>
      <c r="G10" s="15">
        <f t="shared" si="0"/>
        <v>82.75</v>
      </c>
    </row>
    <row r="11" spans="1:7" x14ac:dyDescent="0.45">
      <c r="A11" s="4" t="s">
        <v>102</v>
      </c>
      <c r="B11" s="4" t="s">
        <v>97</v>
      </c>
      <c r="C11" s="4">
        <v>91</v>
      </c>
      <c r="D11" s="4">
        <v>83</v>
      </c>
      <c r="E11" s="4">
        <v>90</v>
      </c>
      <c r="F11" s="4">
        <v>87</v>
      </c>
      <c r="G11" s="15">
        <f t="shared" si="0"/>
        <v>87.75</v>
      </c>
    </row>
    <row r="12" spans="1:7" x14ac:dyDescent="0.45">
      <c r="A12" s="4" t="s">
        <v>103</v>
      </c>
      <c r="B12" s="4" t="s">
        <v>95</v>
      </c>
      <c r="C12" s="4">
        <v>72</v>
      </c>
      <c r="D12" s="4">
        <v>69</v>
      </c>
      <c r="E12" s="4">
        <v>76</v>
      </c>
      <c r="F12" s="4">
        <v>65</v>
      </c>
      <c r="G12" s="15">
        <f t="shared" si="0"/>
        <v>70.5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53E9E-1235-41A6-9849-3F3730735338}">
  <dimension ref="A1:E11"/>
  <sheetViews>
    <sheetView workbookViewId="0">
      <selection sqref="A1:E1"/>
    </sheetView>
  </sheetViews>
  <sheetFormatPr defaultRowHeight="17" x14ac:dyDescent="0.45"/>
  <cols>
    <col min="3" max="3" width="9.58203125" customWidth="1"/>
    <col min="5" max="5" width="9.58203125" customWidth="1"/>
  </cols>
  <sheetData>
    <row r="1" spans="1:5" ht="21" x14ac:dyDescent="0.45">
      <c r="A1" s="31" t="s">
        <v>110</v>
      </c>
      <c r="B1" s="31"/>
      <c r="C1" s="31"/>
      <c r="D1" s="31"/>
      <c r="E1" s="31"/>
    </row>
    <row r="3" spans="1:5" x14ac:dyDescent="0.45">
      <c r="A3" s="4" t="s">
        <v>111</v>
      </c>
      <c r="B3" s="4" t="s">
        <v>112</v>
      </c>
      <c r="C3" s="4" t="s">
        <v>113</v>
      </c>
      <c r="D3" s="4" t="s">
        <v>114</v>
      </c>
      <c r="E3" s="4" t="s">
        <v>115</v>
      </c>
    </row>
    <row r="4" spans="1:5" x14ac:dyDescent="0.45">
      <c r="A4" s="4" t="s">
        <v>116</v>
      </c>
      <c r="B4" s="4">
        <v>251</v>
      </c>
      <c r="C4" s="20">
        <v>35980</v>
      </c>
      <c r="D4" s="20">
        <v>3598</v>
      </c>
      <c r="E4" s="20">
        <f>C4+D4</f>
        <v>39578</v>
      </c>
    </row>
    <row r="5" spans="1:5" x14ac:dyDescent="0.45">
      <c r="A5" s="4" t="s">
        <v>117</v>
      </c>
      <c r="B5" s="4">
        <v>487</v>
      </c>
      <c r="C5" s="20">
        <v>103980</v>
      </c>
      <c r="D5" s="20">
        <v>10398</v>
      </c>
      <c r="E5" s="20">
        <f t="shared" ref="E5:E11" si="0">C5+D5</f>
        <v>114378</v>
      </c>
    </row>
    <row r="6" spans="1:5" x14ac:dyDescent="0.45">
      <c r="A6" s="4" t="s">
        <v>103</v>
      </c>
      <c r="B6" s="4">
        <v>335</v>
      </c>
      <c r="C6" s="20">
        <v>54610</v>
      </c>
      <c r="D6" s="20">
        <v>5461</v>
      </c>
      <c r="E6" s="20">
        <f t="shared" si="0"/>
        <v>60071</v>
      </c>
    </row>
    <row r="7" spans="1:5" x14ac:dyDescent="0.45">
      <c r="A7" s="4" t="s">
        <v>118</v>
      </c>
      <c r="B7" s="4">
        <v>192</v>
      </c>
      <c r="C7" s="20">
        <v>18410</v>
      </c>
      <c r="D7" s="20">
        <v>1841</v>
      </c>
      <c r="E7" s="20">
        <f t="shared" si="0"/>
        <v>20251</v>
      </c>
    </row>
    <row r="8" spans="1:5" x14ac:dyDescent="0.45">
      <c r="A8" s="4" t="s">
        <v>119</v>
      </c>
      <c r="B8" s="4">
        <v>576</v>
      </c>
      <c r="C8" s="20">
        <v>133110</v>
      </c>
      <c r="D8" s="20">
        <v>13311</v>
      </c>
      <c r="E8" s="20">
        <f t="shared" si="0"/>
        <v>146421</v>
      </c>
    </row>
    <row r="9" spans="1:5" x14ac:dyDescent="0.45">
      <c r="A9" s="4" t="s">
        <v>120</v>
      </c>
      <c r="B9" s="4">
        <v>209</v>
      </c>
      <c r="C9" s="20">
        <v>26660</v>
      </c>
      <c r="D9" s="20">
        <v>2666</v>
      </c>
      <c r="E9" s="20">
        <f t="shared" si="0"/>
        <v>29326</v>
      </c>
    </row>
    <row r="10" spans="1:5" x14ac:dyDescent="0.45">
      <c r="A10" s="4" t="s">
        <v>121</v>
      </c>
      <c r="B10" s="4">
        <v>388</v>
      </c>
      <c r="C10" s="20">
        <v>66370</v>
      </c>
      <c r="D10" s="20">
        <v>6637</v>
      </c>
      <c r="E10" s="20">
        <f t="shared" si="0"/>
        <v>73007</v>
      </c>
    </row>
    <row r="11" spans="1:5" x14ac:dyDescent="0.45">
      <c r="A11" s="4" t="s">
        <v>102</v>
      </c>
      <c r="B11" s="4">
        <v>415</v>
      </c>
      <c r="C11" s="20">
        <v>80420</v>
      </c>
      <c r="D11" s="20">
        <v>8042</v>
      </c>
      <c r="E11" s="20">
        <f t="shared" si="0"/>
        <v>88462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통화">
                <anchor moveWithCells="1" siz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6D939-96C4-4BD7-8A94-423618CA3027}">
  <dimension ref="A1:E9"/>
  <sheetViews>
    <sheetView workbookViewId="0">
      <selection sqref="A1:E1"/>
    </sheetView>
  </sheetViews>
  <sheetFormatPr defaultRowHeight="17" x14ac:dyDescent="0.45"/>
  <sheetData>
    <row r="1" spans="1:5" ht="21" x14ac:dyDescent="0.45">
      <c r="A1" s="31" t="s">
        <v>131</v>
      </c>
      <c r="B1" s="31"/>
      <c r="C1" s="31"/>
      <c r="D1" s="31"/>
      <c r="E1" s="31"/>
    </row>
    <row r="3" spans="1:5" x14ac:dyDescent="0.45">
      <c r="A3" s="4" t="s">
        <v>122</v>
      </c>
      <c r="B3" s="4" t="s">
        <v>50</v>
      </c>
      <c r="C3" s="4" t="s">
        <v>123</v>
      </c>
      <c r="D3" s="4" t="s">
        <v>124</v>
      </c>
      <c r="E3" s="4" t="s">
        <v>91</v>
      </c>
    </row>
    <row r="4" spans="1:5" x14ac:dyDescent="0.45">
      <c r="A4" s="4" t="s">
        <v>125</v>
      </c>
      <c r="B4" s="4">
        <v>83</v>
      </c>
      <c r="C4" s="4">
        <v>73</v>
      </c>
      <c r="D4" s="4">
        <v>84</v>
      </c>
      <c r="E4" s="4">
        <v>80</v>
      </c>
    </row>
    <row r="5" spans="1:5" x14ac:dyDescent="0.45">
      <c r="A5" s="4" t="s">
        <v>126</v>
      </c>
      <c r="B5" s="4">
        <v>40</v>
      </c>
      <c r="C5" s="4">
        <v>45</v>
      </c>
      <c r="D5" s="4">
        <v>44</v>
      </c>
      <c r="E5" s="4">
        <v>43</v>
      </c>
    </row>
    <row r="6" spans="1:5" x14ac:dyDescent="0.45">
      <c r="A6" s="4" t="s">
        <v>127</v>
      </c>
      <c r="B6" s="4">
        <v>37</v>
      </c>
      <c r="C6" s="4">
        <v>33</v>
      </c>
      <c r="D6" s="4">
        <v>38</v>
      </c>
      <c r="E6" s="4">
        <v>36</v>
      </c>
    </row>
    <row r="7" spans="1:5" x14ac:dyDescent="0.45">
      <c r="A7" s="4" t="s">
        <v>128</v>
      </c>
      <c r="B7" s="4">
        <v>44</v>
      </c>
      <c r="C7" s="4">
        <v>40</v>
      </c>
      <c r="D7" s="4">
        <v>42</v>
      </c>
      <c r="E7" s="4">
        <v>42</v>
      </c>
    </row>
    <row r="8" spans="1:5" x14ac:dyDescent="0.45">
      <c r="A8" s="4" t="s">
        <v>129</v>
      </c>
      <c r="B8" s="4">
        <v>72</v>
      </c>
      <c r="C8" s="4">
        <v>70</v>
      </c>
      <c r="D8" s="4">
        <v>65</v>
      </c>
      <c r="E8" s="4">
        <v>69</v>
      </c>
    </row>
    <row r="9" spans="1:5" x14ac:dyDescent="0.45">
      <c r="A9" s="4" t="s">
        <v>130</v>
      </c>
      <c r="B9" s="4">
        <v>73</v>
      </c>
      <c r="C9" s="4">
        <v>71</v>
      </c>
      <c r="D9" s="4">
        <v>78</v>
      </c>
      <c r="E9" s="4">
        <v>74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결제액</vt:lpstr>
      <vt:lpstr>누적포인트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2025-02-05T04:40:07Z</dcterms:created>
  <dcterms:modified xsi:type="dcterms:W3CDTF">2025-02-17T08:45:35Z</dcterms:modified>
</cp:coreProperties>
</file>