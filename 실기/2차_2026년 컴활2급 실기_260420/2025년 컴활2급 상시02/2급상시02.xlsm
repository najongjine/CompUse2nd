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trlProps/ctrlProp1.xml" ContentType="application/vnd.ms-excel.controlproperties+xml"/>
  <Override PartName="/xl/drawings/drawing5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defaultThemeVersion="166925"/>
  <mc:AlternateContent xmlns:mc="http://schemas.openxmlformats.org/markup-compatibility/2006">
    <mc:Choice Requires="x15">
      <x15ac:absPath xmlns:x15ac="http://schemas.microsoft.com/office/spreadsheetml/2010/11/ac" url="D:\CompUse2nd\실기\2차_2026년 컴활2급 실기_260420\2025년 컴활2급 상시02\"/>
    </mc:Choice>
  </mc:AlternateContent>
  <xr:revisionPtr revIDLastSave="0" documentId="13_ncr:1_{AAAD1A70-BE61-4AAB-9E8C-60279D0927B5}" xr6:coauthVersionLast="47" xr6:coauthVersionMax="47" xr10:uidLastSave="{00000000-0000-0000-0000-000000000000}"/>
  <bookViews>
    <workbookView xWindow="-120" yWindow="-120" windowWidth="29040" windowHeight="15840" firstSheet="1" activeTab="7" xr2:uid="{454C2710-479D-43CF-B081-445713A883DF}"/>
  </bookViews>
  <sheets>
    <sheet name="기본작업-1" sheetId="1" r:id="rId1"/>
    <sheet name="기본작업-2" sheetId="9" r:id="rId2"/>
    <sheet name="기본작업-3" sheetId="10" r:id="rId3"/>
    <sheet name="계산작업" sheetId="13" r:id="rId4"/>
    <sheet name="분석작업-1" sheetId="5" r:id="rId5"/>
    <sheet name="분석작업-2" sheetId="6" r:id="rId6"/>
    <sheet name="매크로작업" sheetId="11" r:id="rId7"/>
    <sheet name="차트작업" sheetId="12" r:id="rId8"/>
  </sheets>
  <definedNames>
    <definedName name="결재액">'기본작업-2'!$E$4:$E$11</definedName>
    <definedName name="누적포인트">'기본작업-2'!$G$4:$G$11</definedName>
  </definedNames>
  <calcPr calcId="191029"/>
  <pivotCaches>
    <pivotCache cacheId="4" r:id="rId9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5" i="11" l="1"/>
  <c r="E6" i="11"/>
  <c r="E7" i="11"/>
  <c r="E8" i="11"/>
  <c r="E9" i="11"/>
  <c r="E10" i="11"/>
  <c r="E11" i="11"/>
  <c r="E4" i="11"/>
  <c r="D35" i="13"/>
  <c r="J22" i="13"/>
  <c r="E16" i="13"/>
  <c r="E17" i="13"/>
  <c r="E18" i="13"/>
  <c r="E19" i="13"/>
  <c r="E20" i="13"/>
  <c r="E21" i="13"/>
  <c r="E22" i="13"/>
  <c r="E15" i="13"/>
  <c r="G4" i="13"/>
  <c r="G5" i="13"/>
  <c r="G6" i="13"/>
  <c r="G7" i="13"/>
  <c r="G8" i="13"/>
  <c r="G9" i="13"/>
  <c r="G10" i="13"/>
  <c r="G11" i="13"/>
  <c r="G3" i="13"/>
  <c r="C4" i="13"/>
  <c r="C5" i="13"/>
  <c r="C6" i="13"/>
  <c r="C7" i="13"/>
  <c r="C8" i="13"/>
  <c r="C9" i="13"/>
  <c r="C10" i="13"/>
  <c r="C11" i="13"/>
  <c r="C3" i="13"/>
  <c r="G5" i="6"/>
  <c r="G6" i="6"/>
  <c r="G7" i="6"/>
  <c r="G8" i="6"/>
  <c r="G9" i="6"/>
  <c r="G10" i="6"/>
  <c r="G11" i="6"/>
  <c r="G12" i="6"/>
  <c r="G4" i="6"/>
</calcChain>
</file>

<file path=xl/sharedStrings.xml><?xml version="1.0" encoding="utf-8"?>
<sst xmlns="http://schemas.openxmlformats.org/spreadsheetml/2006/main" count="313" uniqueCount="241">
  <si>
    <t>가전제품 입고 현황</t>
    <phoneticPr fontId="1" type="noConversion"/>
  </si>
  <si>
    <t>상공쇼핑몰 회원관리 현황</t>
  </si>
  <si>
    <t>등급</t>
  </si>
  <si>
    <t>고객번호</t>
  </si>
  <si>
    <t>구입액</t>
  </si>
  <si>
    <t>할인액</t>
  </si>
  <si>
    <t>결제액</t>
  </si>
  <si>
    <t>적립률</t>
  </si>
  <si>
    <t>누적포인트</t>
  </si>
  <si>
    <t>VIP</t>
  </si>
  <si>
    <t>C-48923</t>
  </si>
  <si>
    <t>H-25567</t>
  </si>
  <si>
    <t>GOLD</t>
  </si>
  <si>
    <t>K-18409</t>
  </si>
  <si>
    <t>G-23987</t>
  </si>
  <si>
    <t>SILVER</t>
  </si>
  <si>
    <t>A-50545</t>
  </si>
  <si>
    <t>E-69771</t>
  </si>
  <si>
    <t>BASIC</t>
  </si>
  <si>
    <t>N-38904</t>
  </si>
  <si>
    <t>D-90568</t>
  </si>
  <si>
    <t>지역별 날씨</t>
  </si>
  <si>
    <t>사원별 판매 실적</t>
  </si>
  <si>
    <t>사원명</t>
  </si>
  <si>
    <t>부서명</t>
  </si>
  <si>
    <t>직위</t>
  </si>
  <si>
    <t>전반기</t>
  </si>
  <si>
    <t>하반기</t>
  </si>
  <si>
    <t>반품</t>
  </si>
  <si>
    <t>윤동해</t>
  </si>
  <si>
    <t>영업1팀</t>
  </si>
  <si>
    <t>과장</t>
  </si>
  <si>
    <t>강조은</t>
  </si>
  <si>
    <t>대리</t>
  </si>
  <si>
    <t>권혜리</t>
  </si>
  <si>
    <t>안대인</t>
  </si>
  <si>
    <t>영업2팀</t>
  </si>
  <si>
    <t>부장</t>
  </si>
  <si>
    <t>심원진</t>
  </si>
  <si>
    <t>곽슬빈</t>
  </si>
  <si>
    <t>사원</t>
  </si>
  <si>
    <t>윤희수</t>
  </si>
  <si>
    <t>영업3팀</t>
  </si>
  <si>
    <t>전성수</t>
  </si>
  <si>
    <t>곽하율</t>
  </si>
  <si>
    <t>황은영</t>
  </si>
  <si>
    <t>영업4팀</t>
  </si>
  <si>
    <t>권민준</t>
  </si>
  <si>
    <t>김선호</t>
  </si>
  <si>
    <t>승진 시험 결과</t>
  </si>
  <si>
    <t>이름</t>
  </si>
  <si>
    <t>업무수행</t>
  </si>
  <si>
    <t>영어</t>
  </si>
  <si>
    <t>전산이론</t>
  </si>
  <si>
    <t>전산실기</t>
  </si>
  <si>
    <t>평균</t>
  </si>
  <si>
    <t>최정욱</t>
  </si>
  <si>
    <t>기술부</t>
  </si>
  <si>
    <t>전선희</t>
  </si>
  <si>
    <t>자재부</t>
  </si>
  <si>
    <t>신성현</t>
  </si>
  <si>
    <t>판매부</t>
  </si>
  <si>
    <t>김민호</t>
  </si>
  <si>
    <t>이민정</t>
  </si>
  <si>
    <t>박진주</t>
  </si>
  <si>
    <t>이현민</t>
  </si>
  <si>
    <t>황진주</t>
  </si>
  <si>
    <t>김민서</t>
  </si>
  <si>
    <t>전기요금 사용량</t>
  </si>
  <si>
    <t>사용자명</t>
  </si>
  <si>
    <t>사용량</t>
  </si>
  <si>
    <t>사용요금</t>
  </si>
  <si>
    <t>세금</t>
  </si>
  <si>
    <t>총요금</t>
  </si>
  <si>
    <t>이상희</t>
  </si>
  <si>
    <t>지승대</t>
  </si>
  <si>
    <t>박동준</t>
  </si>
  <si>
    <t>조경원</t>
  </si>
  <si>
    <t>박해수</t>
  </si>
  <si>
    <t>유은정</t>
  </si>
  <si>
    <t>상공스포츠센터 강습인원 현황</t>
  </si>
  <si>
    <t>프로그램</t>
  </si>
  <si>
    <t>4월</t>
  </si>
  <si>
    <t>5월</t>
  </si>
  <si>
    <t>6월</t>
  </si>
  <si>
    <t>수영</t>
  </si>
  <si>
    <t>골프</t>
  </si>
  <si>
    <t>테니스</t>
  </si>
  <si>
    <t>볼링</t>
  </si>
  <si>
    <t>배드민턴</t>
  </si>
  <si>
    <t>탁구</t>
  </si>
  <si>
    <t>[표1]</t>
    <phoneticPr fontId="1" type="noConversion"/>
  </si>
  <si>
    <t>영어발표대회</t>
  </si>
  <si>
    <t>[표2]</t>
    <phoneticPr fontId="1" type="noConversion"/>
  </si>
  <si>
    <t>신입사원 관리</t>
    <phoneticPr fontId="1" type="noConversion"/>
  </si>
  <si>
    <t>&lt;부서코드표&gt;</t>
    <phoneticPr fontId="1" type="noConversion"/>
  </si>
  <si>
    <t>회원명</t>
  </si>
  <si>
    <t>점수</t>
  </si>
  <si>
    <t>결과</t>
  </si>
  <si>
    <t>사원명</t>
    <phoneticPr fontId="1" type="noConversion"/>
  </si>
  <si>
    <t>임시코드</t>
    <phoneticPr fontId="1" type="noConversion"/>
  </si>
  <si>
    <t>부서명</t>
    <phoneticPr fontId="1" type="noConversion"/>
  </si>
  <si>
    <t>코드</t>
    <phoneticPr fontId="1" type="noConversion"/>
  </si>
  <si>
    <t>김연경</t>
  </si>
  <si>
    <t>전윤주</t>
  </si>
  <si>
    <t>p58482</t>
    <phoneticPr fontId="1" type="noConversion"/>
  </si>
  <si>
    <t>p</t>
    <phoneticPr fontId="1" type="noConversion"/>
  </si>
  <si>
    <t>planning</t>
    <phoneticPr fontId="1" type="noConversion"/>
  </si>
  <si>
    <t>박종훈</t>
  </si>
  <si>
    <t>이아현</t>
    <phoneticPr fontId="1" type="noConversion"/>
  </si>
  <si>
    <t>f40175</t>
    <phoneticPr fontId="1" type="noConversion"/>
  </si>
  <si>
    <t>l</t>
    <phoneticPr fontId="1" type="noConversion"/>
  </si>
  <si>
    <t>logistics</t>
    <phoneticPr fontId="1" type="noConversion"/>
  </si>
  <si>
    <t>조유리</t>
  </si>
  <si>
    <t>박대인</t>
  </si>
  <si>
    <t>l93647</t>
    <phoneticPr fontId="1" type="noConversion"/>
  </si>
  <si>
    <t>s</t>
    <phoneticPr fontId="1" type="noConversion"/>
  </si>
  <si>
    <t>sales</t>
    <phoneticPr fontId="1" type="noConversion"/>
  </si>
  <si>
    <t>강혜원</t>
  </si>
  <si>
    <t>문정은</t>
  </si>
  <si>
    <t>f38466</t>
    <phoneticPr fontId="1" type="noConversion"/>
  </si>
  <si>
    <t>f</t>
    <phoneticPr fontId="1" type="noConversion"/>
  </si>
  <si>
    <t>finance</t>
    <phoneticPr fontId="1" type="noConversion"/>
  </si>
  <si>
    <t>권은비</t>
  </si>
  <si>
    <t>조수연</t>
  </si>
  <si>
    <t>s75801</t>
    <phoneticPr fontId="1" type="noConversion"/>
  </si>
  <si>
    <t>심우석</t>
  </si>
  <si>
    <t>양이윤</t>
  </si>
  <si>
    <t>p20079</t>
    <phoneticPr fontId="1" type="noConversion"/>
  </si>
  <si>
    <t>김한성</t>
  </si>
  <si>
    <t>신승윤</t>
  </si>
  <si>
    <t>l10663</t>
    <phoneticPr fontId="1" type="noConversion"/>
  </si>
  <si>
    <t>이효진</t>
  </si>
  <si>
    <t>안범준</t>
  </si>
  <si>
    <t>s67168</t>
    <phoneticPr fontId="1" type="noConversion"/>
  </si>
  <si>
    <t>최미영</t>
  </si>
  <si>
    <t>김은소</t>
    <phoneticPr fontId="1" type="noConversion"/>
  </si>
  <si>
    <t>p82011</t>
    <phoneticPr fontId="1" type="noConversion"/>
  </si>
  <si>
    <t>[표3]</t>
  </si>
  <si>
    <t>사원 관리 현황</t>
  </si>
  <si>
    <t>[표4]</t>
    <phoneticPr fontId="1" type="noConversion"/>
  </si>
  <si>
    <t>수학경시대회 결과</t>
  </si>
  <si>
    <t>입사년도</t>
  </si>
  <si>
    <t>임시코드</t>
  </si>
  <si>
    <t>지점</t>
  </si>
  <si>
    <t>사원코드</t>
  </si>
  <si>
    <t>참가번호</t>
  </si>
  <si>
    <t>출신지역</t>
  </si>
  <si>
    <t>평가점수</t>
  </si>
  <si>
    <t>홍명찬</t>
  </si>
  <si>
    <t>pro535k</t>
  </si>
  <si>
    <t>서울</t>
  </si>
  <si>
    <t>P00001</t>
  </si>
  <si>
    <t>강준호</t>
  </si>
  <si>
    <t>서혜진</t>
  </si>
  <si>
    <t>pla321d</t>
  </si>
  <si>
    <t>부산</t>
  </si>
  <si>
    <t>P00002</t>
  </si>
  <si>
    <t>안혜진</t>
  </si>
  <si>
    <t>인천</t>
  </si>
  <si>
    <t>양세완</t>
  </si>
  <si>
    <t>bck220a</t>
  </si>
  <si>
    <t>P00003</t>
  </si>
  <si>
    <t>한지민</t>
  </si>
  <si>
    <t>유도원</t>
  </si>
  <si>
    <t>iuf035e</t>
  </si>
  <si>
    <t>제주</t>
  </si>
  <si>
    <t>P00004</t>
  </si>
  <si>
    <t>유서연</t>
  </si>
  <si>
    <t>최윤희</t>
  </si>
  <si>
    <t>fvh693p</t>
  </si>
  <si>
    <t>P00005</t>
  </si>
  <si>
    <t>정병우</t>
  </si>
  <si>
    <t>광주</t>
  </si>
  <si>
    <t>허현주</t>
  </si>
  <si>
    <t>ncr722u</t>
  </si>
  <si>
    <t>P00006</t>
  </si>
  <si>
    <t>한지은</t>
  </si>
  <si>
    <t>한세호</t>
  </si>
  <si>
    <t>blc269y</t>
  </si>
  <si>
    <t>P00007</t>
  </si>
  <si>
    <t>최방원</t>
  </si>
  <si>
    <t>노재연</t>
  </si>
  <si>
    <t>nto484l</t>
  </si>
  <si>
    <t>출신지역이 서울인 학생수</t>
  </si>
  <si>
    <t>[표5]</t>
    <phoneticPr fontId="1" type="noConversion"/>
  </si>
  <si>
    <t>제품 납품 현황</t>
    <phoneticPr fontId="1" type="noConversion"/>
  </si>
  <si>
    <t>납품일자</t>
    <phoneticPr fontId="1" type="noConversion"/>
  </si>
  <si>
    <t>거래처명</t>
    <phoneticPr fontId="1" type="noConversion"/>
  </si>
  <si>
    <t>납품량</t>
    <phoneticPr fontId="1" type="noConversion"/>
  </si>
  <si>
    <t>납품총액</t>
    <phoneticPr fontId="1" type="noConversion"/>
  </si>
  <si>
    <t>7월23일</t>
    <phoneticPr fontId="1" type="noConversion"/>
  </si>
  <si>
    <t>하나전자</t>
    <phoneticPr fontId="1" type="noConversion"/>
  </si>
  <si>
    <t>우리전자</t>
    <phoneticPr fontId="1" type="noConversion"/>
  </si>
  <si>
    <t>상공전자</t>
    <phoneticPr fontId="1" type="noConversion"/>
  </si>
  <si>
    <t>7월30일</t>
    <phoneticPr fontId="1" type="noConversion"/>
  </si>
  <si>
    <t>8월3일</t>
    <phoneticPr fontId="1" type="noConversion"/>
  </si>
  <si>
    <t>진성전자</t>
    <phoneticPr fontId="1" type="noConversion"/>
  </si>
  <si>
    <t>8월10일</t>
    <phoneticPr fontId="1" type="noConversion"/>
  </si>
  <si>
    <t>최대-최소 납품총액 차이</t>
    <phoneticPr fontId="1" type="noConversion"/>
  </si>
  <si>
    <t>기상</t>
  </si>
  <si>
    <t>지역</t>
  </si>
  <si>
    <t>1월</t>
  </si>
  <si>
    <t>2월</t>
  </si>
  <si>
    <t>3월</t>
  </si>
  <si>
    <t>강수량</t>
  </si>
  <si>
    <t>경기</t>
  </si>
  <si>
    <t>경상</t>
  </si>
  <si>
    <t>전라</t>
  </si>
  <si>
    <t>최고기온</t>
  </si>
  <si>
    <t>평균온도</t>
  </si>
  <si>
    <t>습도</t>
  </si>
  <si>
    <t>B4:B16 범위 선택</t>
  </si>
  <si>
    <t>상단 메뉴에서</t>
  </si>
  <si>
    <t>데이터 → 텍스트 나누기</t>
  </si>
  <si>
    <r>
      <t>구분 기호로 분리됨</t>
    </r>
    <r>
      <rPr>
        <sz val="11"/>
        <color theme="1"/>
        <rFont val="맑은 고딕"/>
        <family val="2"/>
        <charset val="129"/>
        <scheme val="minor"/>
      </rPr>
      <t xml:space="preserve"> 선택 → </t>
    </r>
    <r>
      <rPr>
        <b/>
        <sz val="11"/>
        <color theme="1"/>
        <rFont val="맑은 고딕"/>
        <family val="3"/>
        <charset val="129"/>
        <scheme val="minor"/>
      </rPr>
      <t>다음</t>
    </r>
  </si>
  <si>
    <t>구분 기호에서</t>
  </si>
  <si>
    <r>
      <t>세미콜론</t>
    </r>
    <r>
      <rPr>
        <sz val="11"/>
        <color theme="1"/>
        <rFont val="맑은 고딕"/>
        <family val="2"/>
        <charset val="129"/>
        <scheme val="minor"/>
      </rPr>
      <t xml:space="preserve"> 체크</t>
    </r>
  </si>
  <si>
    <t>다른 항목은 체크 해제</t>
  </si>
  <si>
    <r>
      <t>다음</t>
    </r>
    <r>
      <rPr>
        <sz val="11"/>
        <color theme="1"/>
        <rFont val="맑은 고딕"/>
        <family val="2"/>
        <charset val="129"/>
        <scheme val="minor"/>
      </rPr>
      <t xml:space="preserve"> 클릭</t>
    </r>
  </si>
  <si>
    <r>
      <t xml:space="preserve">아래의 </t>
    </r>
    <r>
      <rPr>
        <b/>
        <sz val="11"/>
        <color theme="1"/>
        <rFont val="맑은 고딕"/>
        <family val="3"/>
        <charset val="129"/>
        <scheme val="minor"/>
      </rPr>
      <t>데이터 미리 보기</t>
    </r>
    <r>
      <rPr>
        <sz val="11"/>
        <color theme="1"/>
        <rFont val="맑은 고딕"/>
        <family val="2"/>
        <charset val="129"/>
        <scheme val="minor"/>
      </rPr>
      <t xml:space="preserve">에서 </t>
    </r>
    <r>
      <rPr>
        <sz val="10"/>
        <color theme="1"/>
        <rFont val="Arial Unicode MS"/>
        <family val="2"/>
      </rPr>
      <t>12월</t>
    </r>
    <r>
      <rPr>
        <sz val="11"/>
        <color theme="1"/>
        <rFont val="맑은 고딕"/>
        <family val="2"/>
        <charset val="129"/>
        <scheme val="minor"/>
      </rPr>
      <t xml:space="preserve"> 열을 클릭</t>
    </r>
  </si>
  <si>
    <r>
      <t xml:space="preserve">위쪽의 </t>
    </r>
    <r>
      <rPr>
        <b/>
        <sz val="11"/>
        <color theme="1"/>
        <rFont val="맑은 고딕"/>
        <family val="3"/>
        <charset val="129"/>
        <scheme val="minor"/>
      </rPr>
      <t>열 가져오지 않음(건너뜀)</t>
    </r>
    <r>
      <rPr>
        <sz val="11"/>
        <color theme="1"/>
        <rFont val="맑은 고딕"/>
        <family val="2"/>
        <charset val="129"/>
        <scheme val="minor"/>
      </rPr>
      <t xml:space="preserve"> 선택</t>
    </r>
  </si>
  <si>
    <r>
      <t xml:space="preserve">미리 보기에서 </t>
    </r>
    <r>
      <rPr>
        <sz val="10"/>
        <color theme="1"/>
        <rFont val="Arial Unicode MS"/>
        <family val="2"/>
      </rPr>
      <t>5월</t>
    </r>
    <r>
      <rPr>
        <sz val="11"/>
        <color theme="1"/>
        <rFont val="맑은 고딕"/>
        <family val="2"/>
        <charset val="129"/>
        <scheme val="minor"/>
      </rPr>
      <t xml:space="preserve"> 열도 클릭</t>
    </r>
  </si>
  <si>
    <r>
      <t xml:space="preserve">다시 </t>
    </r>
    <r>
      <rPr>
        <b/>
        <sz val="11"/>
        <color theme="1"/>
        <rFont val="맑은 고딕"/>
        <family val="3"/>
        <charset val="129"/>
        <scheme val="minor"/>
      </rPr>
      <t>열 가져오지 않음(건너뜀)</t>
    </r>
    <r>
      <rPr>
        <sz val="11"/>
        <color theme="1"/>
        <rFont val="맑은 고딕"/>
        <family val="2"/>
        <charset val="129"/>
        <scheme val="minor"/>
      </rPr>
      <t xml:space="preserve"> 선택</t>
    </r>
  </si>
  <si>
    <r>
      <t xml:space="preserve">대상 위치는 그대로 </t>
    </r>
    <r>
      <rPr>
        <sz val="10"/>
        <color theme="1"/>
        <rFont val="Arial Unicode MS"/>
        <family val="2"/>
      </rPr>
      <t>$B$4</t>
    </r>
    <r>
      <rPr>
        <sz val="11"/>
        <color theme="1"/>
        <rFont val="맑은 고딕"/>
        <family val="2"/>
        <charset val="129"/>
        <scheme val="minor"/>
      </rPr>
      <t xml:space="preserve">로 두고 </t>
    </r>
    <r>
      <rPr>
        <b/>
        <sz val="11"/>
        <color theme="1"/>
        <rFont val="맑은 고딕"/>
        <family val="3"/>
        <charset val="129"/>
        <scheme val="minor"/>
      </rPr>
      <t>마침</t>
    </r>
  </si>
  <si>
    <t>최댓값: 3,740,000원 ← 8월 10일 우리전자 최솟값: 2,475,000원 ← 7월 23일 상공전자</t>
  </si>
  <si>
    <t>(모두)</t>
  </si>
  <si>
    <t>행 레이블</t>
  </si>
  <si>
    <t>총합계</t>
  </si>
  <si>
    <t>합계 : 반품</t>
  </si>
  <si>
    <t>평균 : 전반기</t>
  </si>
  <si>
    <t>평균 : 하반기</t>
  </si>
  <si>
    <t>전반기 평균, 하반기 평균 아무 숫자 하나 클릭</t>
  </si>
  <si>
    <t>오른쪽 클릭</t>
  </si>
  <si>
    <t>→ 값 필드 설정</t>
  </si>
  <si>
    <t>연한 파랑, 피벗 스타일 보통 20</t>
  </si>
  <si>
    <t>피벗 테이블 디자인</t>
  </si>
  <si>
    <t>가상분석-&gt; 목표값 찾기</t>
    <phoneticPr fontId="1" type="noConversion"/>
  </si>
  <si>
    <t>수식 셀: $G$8</t>
  </si>
  <si>
    <t>찾는 값: 90</t>
  </si>
  <si>
    <t>값을 바꿀 셀: $C$8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</si>
</sst>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1" formatCode="_-* #,##0_-;\-* #,##0_-;_-* &quot;-&quot;_-;_-@_-"/>
    <numFmt numFmtId="176" formatCode="0.0"/>
    <numFmt numFmtId="177" formatCode="#&quot;%&quot;"/>
    <numFmt numFmtId="178" formatCode="0.00_ "/>
    <numFmt numFmtId="185" formatCode="&quot;₩&quot;#,##0_);[Red]\(&quot;₩&quot;#,##0\)"/>
  </numFmts>
  <fonts count="1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4"/>
      <color theme="1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</font>
    <font>
      <sz val="11"/>
      <color theme="0"/>
      <name val="맑은 고딕"/>
      <family val="2"/>
      <charset val="129"/>
      <scheme val="minor"/>
    </font>
    <font>
      <b/>
      <i/>
      <u val="double"/>
      <sz val="14"/>
      <color theme="1"/>
      <name val="굵은 기울임꼴"/>
      <family val="3"/>
      <charset val="129"/>
    </font>
    <font>
      <sz val="10"/>
      <color theme="1"/>
      <name val="Arial Unicode MS"/>
      <family val="2"/>
    </font>
  </fonts>
  <fills count="4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6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6">
    <xf numFmtId="0" fontId="0" fillId="0" borderId="0">
      <alignment vertical="center"/>
    </xf>
    <xf numFmtId="41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7" fillId="0" borderId="0">
      <alignment vertical="center"/>
    </xf>
    <xf numFmtId="41" fontId="2" fillId="0" borderId="0" applyFont="0" applyFill="0" applyBorder="0" applyAlignment="0" applyProtection="0">
      <alignment vertical="center"/>
    </xf>
    <xf numFmtId="0" fontId="8" fillId="3" borderId="0" applyNumberFormat="0" applyBorder="0" applyAlignment="0" applyProtection="0">
      <alignment vertical="center"/>
    </xf>
  </cellStyleXfs>
  <cellXfs count="42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41" fontId="0" fillId="0" borderId="0" xfId="1" applyFont="1" applyAlignment="1">
      <alignment horizontal="center" vertical="center"/>
    </xf>
    <xf numFmtId="0" fontId="0" fillId="0" borderId="1" xfId="0" applyBorder="1" applyAlignment="1">
      <alignment horizontal="center" vertical="center"/>
    </xf>
    <xf numFmtId="176" fontId="0" fillId="0" borderId="1" xfId="0" applyNumberFormat="1" applyBorder="1" applyAlignment="1">
      <alignment horizontal="center" vertical="center"/>
    </xf>
    <xf numFmtId="0" fontId="4" fillId="0" borderId="0" xfId="0" applyFont="1">
      <alignment vertical="center"/>
    </xf>
    <xf numFmtId="0" fontId="5" fillId="0" borderId="0" xfId="0" applyFont="1">
      <alignment vertical="center"/>
    </xf>
    <xf numFmtId="0" fontId="6" fillId="0" borderId="0" xfId="0" applyFont="1">
      <alignment vertical="center"/>
    </xf>
    <xf numFmtId="0" fontId="0" fillId="2" borderId="1" xfId="0" applyFill="1" applyBorder="1" applyAlignment="1">
      <alignment horizontal="center" vertical="center"/>
    </xf>
    <xf numFmtId="0" fontId="2" fillId="0" borderId="1" xfId="2" applyBorder="1" applyAlignment="1">
      <alignment horizontal="center" vertical="center"/>
    </xf>
    <xf numFmtId="0" fontId="7" fillId="0" borderId="1" xfId="3" applyBorder="1" applyAlignment="1">
      <alignment horizontal="center" vertical="center"/>
    </xf>
    <xf numFmtId="0" fontId="0" fillId="0" borderId="1" xfId="4" applyNumberFormat="1" applyFont="1" applyBorder="1" applyAlignment="1">
      <alignment horizontal="center" vertical="center"/>
    </xf>
    <xf numFmtId="41" fontId="0" fillId="0" borderId="1" xfId="4" applyFont="1" applyBorder="1" applyAlignment="1">
      <alignment horizontal="center" vertical="center"/>
    </xf>
    <xf numFmtId="41" fontId="0" fillId="0" borderId="1" xfId="1" applyFont="1" applyBorder="1">
      <alignment vertical="center"/>
    </xf>
    <xf numFmtId="177" fontId="0" fillId="0" borderId="1" xfId="0" applyNumberFormat="1" applyBorder="1" applyAlignment="1">
      <alignment horizontal="center" vertical="center"/>
    </xf>
    <xf numFmtId="0" fontId="8" fillId="3" borderId="6" xfId="5" applyBorder="1" applyAlignment="1">
      <alignment horizontal="center" vertical="center"/>
    </xf>
    <xf numFmtId="0" fontId="8" fillId="3" borderId="7" xfId="5" applyBorder="1" applyAlignment="1">
      <alignment horizontal="center" vertical="center"/>
    </xf>
    <xf numFmtId="0" fontId="8" fillId="3" borderId="8" xfId="5" applyBorder="1" applyAlignment="1">
      <alignment horizontal="center" vertical="center"/>
    </xf>
    <xf numFmtId="41" fontId="0" fillId="0" borderId="10" xfId="1" applyFont="1" applyBorder="1">
      <alignment vertical="center"/>
    </xf>
    <xf numFmtId="0" fontId="0" fillId="0" borderId="12" xfId="0" applyBorder="1" applyAlignment="1">
      <alignment horizontal="center" vertical="center"/>
    </xf>
    <xf numFmtId="41" fontId="0" fillId="0" borderId="12" xfId="1" applyFont="1" applyBorder="1">
      <alignment vertical="center"/>
    </xf>
    <xf numFmtId="177" fontId="0" fillId="0" borderId="12" xfId="0" applyNumberFormat="1" applyBorder="1" applyAlignment="1">
      <alignment horizontal="center" vertical="center"/>
    </xf>
    <xf numFmtId="41" fontId="0" fillId="0" borderId="13" xfId="1" applyFont="1" applyBorder="1">
      <alignment vertical="center"/>
    </xf>
    <xf numFmtId="0" fontId="0" fillId="0" borderId="0" xfId="0" applyAlignment="1">
      <alignment horizontal="left" vertical="center" indent="1"/>
    </xf>
    <xf numFmtId="0" fontId="10" fillId="0" borderId="0" xfId="0" applyFont="1" applyAlignment="1">
      <alignment horizontal="left" vertical="center" indent="1"/>
    </xf>
    <xf numFmtId="0" fontId="0" fillId="0" borderId="2" xfId="0" applyBorder="1" applyAlignment="1">
      <alignment horizontal="center" vertical="center"/>
    </xf>
    <xf numFmtId="0" fontId="0" fillId="2" borderId="3" xfId="0" applyFill="1" applyBorder="1" applyAlignment="1">
      <alignment horizontal="center" vertical="center"/>
    </xf>
    <xf numFmtId="0" fontId="0" fillId="2" borderId="4" xfId="0" applyFill="1" applyBorder="1" applyAlignment="1">
      <alignment horizontal="center" vertical="center"/>
    </xf>
    <xf numFmtId="0" fontId="0" fillId="2" borderId="5" xfId="0" applyFill="1" applyBorder="1" applyAlignment="1">
      <alignment horizontal="center" vertical="center"/>
    </xf>
    <xf numFmtId="0" fontId="7" fillId="2" borderId="3" xfId="3" applyFill="1" applyBorder="1" applyAlignment="1">
      <alignment horizontal="center" vertical="center"/>
    </xf>
    <xf numFmtId="0" fontId="7" fillId="2" borderId="4" xfId="3" applyFill="1" applyBorder="1" applyAlignment="1">
      <alignment horizontal="center" vertical="center"/>
    </xf>
    <xf numFmtId="0" fontId="7" fillId="2" borderId="5" xfId="3" applyFill="1" applyBorder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0" fillId="0" borderId="0" xfId="0" pivotButton="1">
      <alignment vertical="center"/>
    </xf>
    <xf numFmtId="0" fontId="0" fillId="0" borderId="0" xfId="0" applyAlignment="1">
      <alignment horizontal="left" vertical="center"/>
    </xf>
    <xf numFmtId="0" fontId="0" fillId="0" borderId="0" xfId="0" applyNumberFormat="1">
      <alignment vertical="center"/>
    </xf>
    <xf numFmtId="178" fontId="0" fillId="0" borderId="0" xfId="0" applyNumberFormat="1">
      <alignment vertical="center"/>
    </xf>
    <xf numFmtId="0" fontId="10" fillId="0" borderId="0" xfId="0" applyFont="1">
      <alignment vertical="center"/>
    </xf>
    <xf numFmtId="185" fontId="0" fillId="0" borderId="1" xfId="0" applyNumberFormat="1" applyBorder="1">
      <alignment vertical="center"/>
    </xf>
  </cellXfs>
  <cellStyles count="6">
    <cellStyle name="강조색3" xfId="5" builtinId="37"/>
    <cellStyle name="쉼표 [0]" xfId="1" builtinId="6"/>
    <cellStyle name="쉼표 [0] 8" xfId="4" xr:uid="{CADB5EF9-C4DF-49D0-B84A-004489BD7EDC}"/>
    <cellStyle name="표준" xfId="0" builtinId="0"/>
    <cellStyle name="표준 2 2" xfId="3" xr:uid="{BD30F06F-DB0F-4697-8BEF-06CDA0B2294A}"/>
    <cellStyle name="표준 9" xfId="2" xr:uid="{18A56857-7DF4-4819-9BF2-D8F81987601D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ko-KR" altLang="en-US"/>
              <a:t>주요 프로그램 강습인원 현황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차트작업!$B$3</c:f>
              <c:strCache>
                <c:ptCount val="1"/>
                <c:pt idx="0">
                  <c:v>4월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차트작업!$A$4:$A$9</c15:sqref>
                  </c15:fullRef>
                </c:ext>
              </c:extLst>
              <c:f>(차트작업!$A$4:$A$6,차트작업!$A$8:$A$9)</c:f>
              <c:strCache>
                <c:ptCount val="5"/>
                <c:pt idx="0">
                  <c:v>수영</c:v>
                </c:pt>
                <c:pt idx="1">
                  <c:v>골프</c:v>
                </c:pt>
                <c:pt idx="2">
                  <c:v>테니스</c:v>
                </c:pt>
                <c:pt idx="3">
                  <c:v>배드민턴</c:v>
                </c:pt>
                <c:pt idx="4">
                  <c:v>탁구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차트작업!$B$4:$B$9</c15:sqref>
                  </c15:fullRef>
                </c:ext>
              </c:extLst>
              <c:f>(차트작업!$B$4:$B$6,차트작업!$B$8:$B$9)</c:f>
              <c:numCache>
                <c:formatCode>General</c:formatCode>
                <c:ptCount val="5"/>
                <c:pt idx="0">
                  <c:v>83</c:v>
                </c:pt>
                <c:pt idx="1">
                  <c:v>40</c:v>
                </c:pt>
                <c:pt idx="2">
                  <c:v>37</c:v>
                </c:pt>
                <c:pt idx="3">
                  <c:v>72</c:v>
                </c:pt>
                <c:pt idx="4">
                  <c:v>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E20-46C8-B550-DDB4D7B4E44B}"/>
            </c:ext>
          </c:extLst>
        </c:ser>
        <c:ser>
          <c:idx val="1"/>
          <c:order val="1"/>
          <c:tx>
            <c:strRef>
              <c:f>차트작업!$C$3</c:f>
              <c:strCache>
                <c:ptCount val="1"/>
                <c:pt idx="0">
                  <c:v>5월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차트작업!$A$4:$A$9</c15:sqref>
                  </c15:fullRef>
                </c:ext>
              </c:extLst>
              <c:f>(차트작업!$A$4:$A$6,차트작업!$A$8:$A$9)</c:f>
              <c:strCache>
                <c:ptCount val="5"/>
                <c:pt idx="0">
                  <c:v>수영</c:v>
                </c:pt>
                <c:pt idx="1">
                  <c:v>골프</c:v>
                </c:pt>
                <c:pt idx="2">
                  <c:v>테니스</c:v>
                </c:pt>
                <c:pt idx="3">
                  <c:v>배드민턴</c:v>
                </c:pt>
                <c:pt idx="4">
                  <c:v>탁구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차트작업!$C$4:$C$9</c15:sqref>
                  </c15:fullRef>
                </c:ext>
              </c:extLst>
              <c:f>(차트작업!$C$4:$C$6,차트작업!$C$8:$C$9)</c:f>
              <c:numCache>
                <c:formatCode>General</c:formatCode>
                <c:ptCount val="5"/>
                <c:pt idx="0">
                  <c:v>73</c:v>
                </c:pt>
                <c:pt idx="1">
                  <c:v>45</c:v>
                </c:pt>
                <c:pt idx="2">
                  <c:v>33</c:v>
                </c:pt>
                <c:pt idx="3">
                  <c:v>70</c:v>
                </c:pt>
                <c:pt idx="4">
                  <c:v>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E20-46C8-B550-DDB4D7B4E44B}"/>
            </c:ext>
          </c:extLst>
        </c:ser>
        <c:ser>
          <c:idx val="2"/>
          <c:order val="2"/>
          <c:tx>
            <c:strRef>
              <c:f>차트작업!$D$3</c:f>
              <c:strCache>
                <c:ptCount val="1"/>
                <c:pt idx="0">
                  <c:v>6월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차트작업!$A$4:$A$9</c15:sqref>
                  </c15:fullRef>
                </c:ext>
              </c:extLst>
              <c:f>(차트작업!$A$4:$A$6,차트작업!$A$8:$A$9)</c:f>
              <c:strCache>
                <c:ptCount val="5"/>
                <c:pt idx="0">
                  <c:v>수영</c:v>
                </c:pt>
                <c:pt idx="1">
                  <c:v>골프</c:v>
                </c:pt>
                <c:pt idx="2">
                  <c:v>테니스</c:v>
                </c:pt>
                <c:pt idx="3">
                  <c:v>배드민턴</c:v>
                </c:pt>
                <c:pt idx="4">
                  <c:v>탁구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차트작업!$D$4:$D$9</c15:sqref>
                  </c15:fullRef>
                </c:ext>
              </c:extLst>
              <c:f>(차트작업!$D$4:$D$6,차트작업!$D$8:$D$9)</c:f>
              <c:numCache>
                <c:formatCode>General</c:formatCode>
                <c:ptCount val="5"/>
                <c:pt idx="0">
                  <c:v>84</c:v>
                </c:pt>
                <c:pt idx="1">
                  <c:v>44</c:v>
                </c:pt>
                <c:pt idx="2">
                  <c:v>38</c:v>
                </c:pt>
                <c:pt idx="3">
                  <c:v>65</c:v>
                </c:pt>
                <c:pt idx="4">
                  <c:v>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E20-46C8-B550-DDB4D7B4E4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75868783"/>
        <c:axId val="175870863"/>
        <c:extLst>
          <c:ext xmlns:c15="http://schemas.microsoft.com/office/drawing/2012/chart" uri="{02D57815-91ED-43cb-92C2-25804820EDAC}">
            <c15:filteredBarSeries>
              <c15:ser>
                <c:idx val="3"/>
                <c:order val="3"/>
                <c:tx>
                  <c:strRef>
                    <c:extLst>
                      <c:ext uri="{02D57815-91ED-43cb-92C2-25804820EDAC}">
                        <c15:formulaRef>
                          <c15:sqref>차트작업!$E$3</c15:sqref>
                        </c15:formulaRef>
                      </c:ext>
                    </c:extLst>
                    <c:strCache>
                      <c:ptCount val="1"/>
                      <c:pt idx="0">
                        <c:v>평균</c:v>
                      </c:pt>
                    </c:strCache>
                  </c:strRef>
                </c:tx>
                <c:spPr>
                  <a:solidFill>
                    <a:schemeClr val="accent4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uri="{02D57815-91ED-43cb-92C2-25804820EDAC}">
                        <c15:fullRef>
                          <c15:sqref>차트작업!$A$4:$A$9</c15:sqref>
                        </c15:fullRef>
                        <c15:formulaRef>
                          <c15:sqref>(차트작업!$A$4:$A$6,차트작업!$A$8:$A$9)</c15:sqref>
                        </c15:formulaRef>
                      </c:ext>
                    </c:extLst>
                    <c:strCache>
                      <c:ptCount val="5"/>
                      <c:pt idx="0">
                        <c:v>수영</c:v>
                      </c:pt>
                      <c:pt idx="1">
                        <c:v>골프</c:v>
                      </c:pt>
                      <c:pt idx="2">
                        <c:v>테니스</c:v>
                      </c:pt>
                      <c:pt idx="3">
                        <c:v>배드민턴</c:v>
                      </c:pt>
                      <c:pt idx="4">
                        <c:v>탁구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ullRef>
                          <c15:sqref>차트작업!$E$4:$E$9</c15:sqref>
                        </c15:fullRef>
                        <c15:formulaRef>
                          <c15:sqref>(차트작업!$E$4:$E$6,차트작업!$E$8:$E$9)</c15:sqref>
                        </c15:formulaRef>
                      </c:ext>
                    </c:extLst>
                    <c:numCache>
                      <c:formatCode>General</c:formatCode>
                      <c:ptCount val="5"/>
                      <c:pt idx="0">
                        <c:v>80</c:v>
                      </c:pt>
                      <c:pt idx="1">
                        <c:v>43</c:v>
                      </c:pt>
                      <c:pt idx="2">
                        <c:v>36</c:v>
                      </c:pt>
                      <c:pt idx="3">
                        <c:v>69</c:v>
                      </c:pt>
                      <c:pt idx="4">
                        <c:v>74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3-0E20-46C8-B550-DDB4D7B4E44B}"/>
                  </c:ext>
                </c:extLst>
              </c15:ser>
            </c15:filteredBarSeries>
          </c:ext>
        </c:extLst>
      </c:barChart>
      <c:catAx>
        <c:axId val="17586878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75870863"/>
        <c:crosses val="autoZero"/>
        <c:auto val="1"/>
        <c:lblAlgn val="ctr"/>
        <c:lblOffset val="100"/>
        <c:noMultiLvlLbl val="0"/>
      </c:catAx>
      <c:valAx>
        <c:axId val="175870863"/>
        <c:scaling>
          <c:orientation val="minMax"/>
          <c:max val="1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75868783"/>
        <c:crosses val="autoZero"/>
        <c:crossBetween val="between"/>
        <c:majorUnit val="20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19050" cap="flat" cmpd="sng" algn="ctr">
      <a:solidFill>
        <a:schemeClr val="bg1">
          <a:lumMod val="50000"/>
        </a:schemeClr>
      </a:solidFill>
      <a:round/>
    </a:ln>
    <a:effectLst>
      <a:innerShdw blurRad="114300">
        <a:prstClr val="black"/>
      </a:innerShdw>
    </a:effectLst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4" Type="http://schemas.openxmlformats.org/officeDocument/2006/relationships/image" Target="../media/image5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7.png"/><Relationship Id="rId1" Type="http://schemas.openxmlformats.org/officeDocument/2006/relationships/image" Target="../media/image6.png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image" Target="../media/image14.png"/><Relationship Id="rId3" Type="http://schemas.openxmlformats.org/officeDocument/2006/relationships/image" Target="../media/image9.png"/><Relationship Id="rId7" Type="http://schemas.openxmlformats.org/officeDocument/2006/relationships/image" Target="../media/image13.png"/><Relationship Id="rId2" Type="http://schemas.openxmlformats.org/officeDocument/2006/relationships/image" Target="../media/image8.png"/><Relationship Id="rId1" Type="http://schemas.openxmlformats.org/officeDocument/2006/relationships/chart" Target="../charts/chart1.xml"/><Relationship Id="rId6" Type="http://schemas.openxmlformats.org/officeDocument/2006/relationships/image" Target="../media/image12.png"/><Relationship Id="rId5" Type="http://schemas.openxmlformats.org/officeDocument/2006/relationships/image" Target="../media/image11.png"/><Relationship Id="rId4" Type="http://schemas.openxmlformats.org/officeDocument/2006/relationships/image" Target="../media/image10.png"/><Relationship Id="rId9" Type="http://schemas.openxmlformats.org/officeDocument/2006/relationships/image" Target="../media/image15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21</xdr:row>
      <xdr:rowOff>0</xdr:rowOff>
    </xdr:from>
    <xdr:to>
      <xdr:col>9</xdr:col>
      <xdr:colOff>19818</xdr:colOff>
      <xdr:row>26</xdr:row>
      <xdr:rowOff>114462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C4FF6B58-0DCE-A73E-6159-2211537843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76225" y="4448175"/>
          <a:ext cx="5506218" cy="116221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19050</xdr:colOff>
      <xdr:row>29</xdr:row>
      <xdr:rowOff>28575</xdr:rowOff>
    </xdr:from>
    <xdr:to>
      <xdr:col>10</xdr:col>
      <xdr:colOff>544096</xdr:colOff>
      <xdr:row>38</xdr:row>
      <xdr:rowOff>38365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3F14FA5A-6072-9963-BD37-4A2F2E60416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050" y="6153150"/>
          <a:ext cx="8392696" cy="1895740"/>
        </a:xfrm>
        <a:prstGeom prst="rect">
          <a:avLst/>
        </a:prstGeom>
      </xdr:spPr>
    </xdr:pic>
    <xdr:clientData/>
  </xdr:twoCellAnchor>
  <xdr:twoCellAnchor editAs="oneCell">
    <xdr:from>
      <xdr:col>13</xdr:col>
      <xdr:colOff>0</xdr:colOff>
      <xdr:row>29</xdr:row>
      <xdr:rowOff>0</xdr:rowOff>
    </xdr:from>
    <xdr:to>
      <xdr:col>20</xdr:col>
      <xdr:colOff>124512</xdr:colOff>
      <xdr:row>58</xdr:row>
      <xdr:rowOff>200901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A435E6F5-CE92-D6D5-6CC6-5CAAC0FD77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925050" y="6124575"/>
          <a:ext cx="4925112" cy="6277851"/>
        </a:xfrm>
        <a:prstGeom prst="rect">
          <a:avLst/>
        </a:prstGeom>
      </xdr:spPr>
    </xdr:pic>
    <xdr:clientData/>
  </xdr:twoCellAnchor>
  <xdr:twoCellAnchor editAs="oneCell">
    <xdr:from>
      <xdr:col>13</xdr:col>
      <xdr:colOff>0</xdr:colOff>
      <xdr:row>60</xdr:row>
      <xdr:rowOff>0</xdr:rowOff>
    </xdr:from>
    <xdr:to>
      <xdr:col>16</xdr:col>
      <xdr:colOff>76498</xdr:colOff>
      <xdr:row>85</xdr:row>
      <xdr:rowOff>143626</xdr:rowOff>
    </xdr:to>
    <xdr:pic>
      <xdr:nvPicPr>
        <xdr:cNvPr id="4" name="그림 3">
          <a:extLst>
            <a:ext uri="{FF2B5EF4-FFF2-40B4-BE49-F238E27FC236}">
              <a16:creationId xmlns:a16="http://schemas.microsoft.com/office/drawing/2014/main" id="{72C37D91-584A-788A-8097-29764C6D3F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9925050" y="12620625"/>
          <a:ext cx="2133898" cy="5382376"/>
        </a:xfrm>
        <a:prstGeom prst="rect">
          <a:avLst/>
        </a:prstGeom>
      </xdr:spPr>
    </xdr:pic>
    <xdr:clientData/>
  </xdr:twoCellAnchor>
  <xdr:twoCellAnchor editAs="oneCell">
    <xdr:from>
      <xdr:col>13</xdr:col>
      <xdr:colOff>47625</xdr:colOff>
      <xdr:row>91</xdr:row>
      <xdr:rowOff>57150</xdr:rowOff>
    </xdr:from>
    <xdr:to>
      <xdr:col>22</xdr:col>
      <xdr:colOff>191381</xdr:colOff>
      <xdr:row>119</xdr:row>
      <xdr:rowOff>19864</xdr:rowOff>
    </xdr:to>
    <xdr:pic>
      <xdr:nvPicPr>
        <xdr:cNvPr id="5" name="그림 4">
          <a:extLst>
            <a:ext uri="{FF2B5EF4-FFF2-40B4-BE49-F238E27FC236}">
              <a16:creationId xmlns:a16="http://schemas.microsoft.com/office/drawing/2014/main" id="{9C3FA7F1-4A5C-A2B8-410F-A7D5A3D8C1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9972675" y="19173825"/>
          <a:ext cx="6315956" cy="5830114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15</xdr:row>
      <xdr:rowOff>0</xdr:rowOff>
    </xdr:from>
    <xdr:to>
      <xdr:col>12</xdr:col>
      <xdr:colOff>229781</xdr:colOff>
      <xdr:row>19</xdr:row>
      <xdr:rowOff>123959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B457612C-AA36-01AF-C733-7EFC242D3E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3190875"/>
          <a:ext cx="8459381" cy="962159"/>
        </a:xfrm>
        <a:prstGeom prst="rect">
          <a:avLst/>
        </a:prstGeom>
      </xdr:spPr>
    </xdr:pic>
    <xdr:clientData/>
  </xdr:twoCellAnchor>
  <xdr:twoCellAnchor editAs="oneCell">
    <xdr:from>
      <xdr:col>14</xdr:col>
      <xdr:colOff>0</xdr:colOff>
      <xdr:row>17</xdr:row>
      <xdr:rowOff>0</xdr:rowOff>
    </xdr:from>
    <xdr:to>
      <xdr:col>25</xdr:col>
      <xdr:colOff>324948</xdr:colOff>
      <xdr:row>24</xdr:row>
      <xdr:rowOff>9731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9AE7B853-2449-4B3F-AEBC-0B0D128719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601200" y="3609975"/>
          <a:ext cx="7868748" cy="1476581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2</xdr:row>
      <xdr:rowOff>0</xdr:rowOff>
    </xdr:from>
    <xdr:to>
      <xdr:col>8</xdr:col>
      <xdr:colOff>0</xdr:colOff>
      <xdr:row>4</xdr:row>
      <xdr:rowOff>0</xdr:rowOff>
    </xdr:to>
    <xdr:sp macro="[0]!총요금" textlink="">
      <xdr:nvSpPr>
        <xdr:cNvPr id="2" name="사각형: 둥근 모서리 1">
          <a:extLst>
            <a:ext uri="{FF2B5EF4-FFF2-40B4-BE49-F238E27FC236}">
              <a16:creationId xmlns:a16="http://schemas.microsoft.com/office/drawing/2014/main" id="{28C40839-54C0-22EB-ABA9-7D7E8D95DD52}"/>
            </a:ext>
          </a:extLst>
        </xdr:cNvPr>
        <xdr:cNvSpPr/>
      </xdr:nvSpPr>
      <xdr:spPr>
        <a:xfrm>
          <a:off x="4210050" y="466725"/>
          <a:ext cx="1371600" cy="4191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총요금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5</xdr:row>
          <xdr:rowOff>0</xdr:rowOff>
        </xdr:from>
        <xdr:to>
          <xdr:col>8</xdr:col>
          <xdr:colOff>0</xdr:colOff>
          <xdr:row>7</xdr:row>
          <xdr:rowOff>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6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통화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11</xdr:row>
      <xdr:rowOff>0</xdr:rowOff>
    </xdr:from>
    <xdr:to>
      <xdr:col>7</xdr:col>
      <xdr:colOff>0</xdr:colOff>
      <xdr:row>24</xdr:row>
      <xdr:rowOff>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B67B2F32-6224-4160-B851-6111800AAA4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0</xdr:col>
      <xdr:colOff>0</xdr:colOff>
      <xdr:row>28</xdr:row>
      <xdr:rowOff>0</xdr:rowOff>
    </xdr:from>
    <xdr:to>
      <xdr:col>12</xdr:col>
      <xdr:colOff>77359</xdr:colOff>
      <xdr:row>50</xdr:row>
      <xdr:rowOff>19696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78C7C4F7-BDA8-E7E5-C616-36DA5AFEE6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5915025"/>
          <a:ext cx="8306959" cy="4629796"/>
        </a:xfrm>
        <a:prstGeom prst="rect">
          <a:avLst/>
        </a:prstGeom>
      </xdr:spPr>
    </xdr:pic>
    <xdr:clientData/>
  </xdr:twoCellAnchor>
  <xdr:twoCellAnchor editAs="oneCell">
    <xdr:from>
      <xdr:col>14</xdr:col>
      <xdr:colOff>0</xdr:colOff>
      <xdr:row>28</xdr:row>
      <xdr:rowOff>0</xdr:rowOff>
    </xdr:from>
    <xdr:to>
      <xdr:col>20</xdr:col>
      <xdr:colOff>629312</xdr:colOff>
      <xdr:row>40</xdr:row>
      <xdr:rowOff>200404</xdr:rowOff>
    </xdr:to>
    <xdr:pic>
      <xdr:nvPicPr>
        <xdr:cNvPr id="4" name="그림 3">
          <a:extLst>
            <a:ext uri="{FF2B5EF4-FFF2-40B4-BE49-F238E27FC236}">
              <a16:creationId xmlns:a16="http://schemas.microsoft.com/office/drawing/2014/main" id="{9AD89607-83AB-AEC0-DEB2-95D54EF069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9601200" y="5915025"/>
          <a:ext cx="4744112" cy="2715004"/>
        </a:xfrm>
        <a:prstGeom prst="rect">
          <a:avLst/>
        </a:prstGeom>
      </xdr:spPr>
    </xdr:pic>
    <xdr:clientData/>
  </xdr:twoCellAnchor>
  <xdr:twoCellAnchor editAs="oneCell">
    <xdr:from>
      <xdr:col>14</xdr:col>
      <xdr:colOff>0</xdr:colOff>
      <xdr:row>42</xdr:row>
      <xdr:rowOff>0</xdr:rowOff>
    </xdr:from>
    <xdr:to>
      <xdr:col>18</xdr:col>
      <xdr:colOff>533857</xdr:colOff>
      <xdr:row>51</xdr:row>
      <xdr:rowOff>19316</xdr:rowOff>
    </xdr:to>
    <xdr:pic>
      <xdr:nvPicPr>
        <xdr:cNvPr id="5" name="그림 4">
          <a:extLst>
            <a:ext uri="{FF2B5EF4-FFF2-40B4-BE49-F238E27FC236}">
              <a16:creationId xmlns:a16="http://schemas.microsoft.com/office/drawing/2014/main" id="{BF3F1F2A-DD33-0750-B583-4DCABA3BAFD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9601200" y="8848725"/>
          <a:ext cx="3277057" cy="1905266"/>
        </a:xfrm>
        <a:prstGeom prst="rect">
          <a:avLst/>
        </a:prstGeom>
      </xdr:spPr>
    </xdr:pic>
    <xdr:clientData/>
  </xdr:twoCellAnchor>
  <xdr:twoCellAnchor editAs="oneCell">
    <xdr:from>
      <xdr:col>14</xdr:col>
      <xdr:colOff>0</xdr:colOff>
      <xdr:row>52</xdr:row>
      <xdr:rowOff>0</xdr:rowOff>
    </xdr:from>
    <xdr:to>
      <xdr:col>20</xdr:col>
      <xdr:colOff>324470</xdr:colOff>
      <xdr:row>62</xdr:row>
      <xdr:rowOff>105082</xdr:rowOff>
    </xdr:to>
    <xdr:pic>
      <xdr:nvPicPr>
        <xdr:cNvPr id="6" name="그림 5">
          <a:extLst>
            <a:ext uri="{FF2B5EF4-FFF2-40B4-BE49-F238E27FC236}">
              <a16:creationId xmlns:a16="http://schemas.microsoft.com/office/drawing/2014/main" id="{1EF7F497-C969-A4B3-DD38-B8DE45EB18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9601200" y="10944225"/>
          <a:ext cx="4439270" cy="2200582"/>
        </a:xfrm>
        <a:prstGeom prst="rect">
          <a:avLst/>
        </a:prstGeom>
      </xdr:spPr>
    </xdr:pic>
    <xdr:clientData/>
  </xdr:twoCellAnchor>
  <xdr:twoCellAnchor editAs="oneCell">
    <xdr:from>
      <xdr:col>14</xdr:col>
      <xdr:colOff>0</xdr:colOff>
      <xdr:row>64</xdr:row>
      <xdr:rowOff>0</xdr:rowOff>
    </xdr:from>
    <xdr:to>
      <xdr:col>20</xdr:col>
      <xdr:colOff>400680</xdr:colOff>
      <xdr:row>79</xdr:row>
      <xdr:rowOff>124281</xdr:rowOff>
    </xdr:to>
    <xdr:pic>
      <xdr:nvPicPr>
        <xdr:cNvPr id="7" name="그림 6">
          <a:extLst>
            <a:ext uri="{FF2B5EF4-FFF2-40B4-BE49-F238E27FC236}">
              <a16:creationId xmlns:a16="http://schemas.microsoft.com/office/drawing/2014/main" id="{A026EC2F-EDC1-8D1C-D9A0-0130F00C60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9601200" y="13458825"/>
          <a:ext cx="4515480" cy="3267531"/>
        </a:xfrm>
        <a:prstGeom prst="rect">
          <a:avLst/>
        </a:prstGeom>
      </xdr:spPr>
    </xdr:pic>
    <xdr:clientData/>
  </xdr:twoCellAnchor>
  <xdr:twoCellAnchor editAs="oneCell">
    <xdr:from>
      <xdr:col>14</xdr:col>
      <xdr:colOff>0</xdr:colOff>
      <xdr:row>81</xdr:row>
      <xdr:rowOff>0</xdr:rowOff>
    </xdr:from>
    <xdr:to>
      <xdr:col>21</xdr:col>
      <xdr:colOff>429355</xdr:colOff>
      <xdr:row>88</xdr:row>
      <xdr:rowOff>190731</xdr:rowOff>
    </xdr:to>
    <xdr:pic>
      <xdr:nvPicPr>
        <xdr:cNvPr id="8" name="그림 7">
          <a:extLst>
            <a:ext uri="{FF2B5EF4-FFF2-40B4-BE49-F238E27FC236}">
              <a16:creationId xmlns:a16="http://schemas.microsoft.com/office/drawing/2014/main" id="{586C988B-DF03-B53E-368E-316049C90D7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9601200" y="17021175"/>
          <a:ext cx="5229955" cy="1657581"/>
        </a:xfrm>
        <a:prstGeom prst="rect">
          <a:avLst/>
        </a:prstGeom>
      </xdr:spPr>
    </xdr:pic>
    <xdr:clientData/>
  </xdr:twoCellAnchor>
  <xdr:twoCellAnchor editAs="oneCell">
    <xdr:from>
      <xdr:col>14</xdr:col>
      <xdr:colOff>0</xdr:colOff>
      <xdr:row>93</xdr:row>
      <xdr:rowOff>0</xdr:rowOff>
    </xdr:from>
    <xdr:to>
      <xdr:col>16</xdr:col>
      <xdr:colOff>66876</xdr:colOff>
      <xdr:row>127</xdr:row>
      <xdr:rowOff>96258</xdr:rowOff>
    </xdr:to>
    <xdr:pic>
      <xdr:nvPicPr>
        <xdr:cNvPr id="9" name="그림 8">
          <a:extLst>
            <a:ext uri="{FF2B5EF4-FFF2-40B4-BE49-F238E27FC236}">
              <a16:creationId xmlns:a16="http://schemas.microsoft.com/office/drawing/2014/main" id="{24AF8058-7CD3-8A8E-062A-61A978442E4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9601200" y="19535775"/>
          <a:ext cx="1438476" cy="7220958"/>
        </a:xfrm>
        <a:prstGeom prst="rect">
          <a:avLst/>
        </a:prstGeom>
        <a:effectLst>
          <a:innerShdw blurRad="114300">
            <a:prstClr val="black"/>
          </a:innerShdw>
        </a:effectLst>
      </xdr:spPr>
    </xdr:pic>
    <xdr:clientData/>
  </xdr:twoCellAnchor>
  <xdr:twoCellAnchor editAs="oneCell">
    <xdr:from>
      <xdr:col>17</xdr:col>
      <xdr:colOff>0</xdr:colOff>
      <xdr:row>93</xdr:row>
      <xdr:rowOff>0</xdr:rowOff>
    </xdr:from>
    <xdr:to>
      <xdr:col>21</xdr:col>
      <xdr:colOff>200436</xdr:colOff>
      <xdr:row>122</xdr:row>
      <xdr:rowOff>10375</xdr:rowOff>
    </xdr:to>
    <xdr:pic>
      <xdr:nvPicPr>
        <xdr:cNvPr id="10" name="그림 9">
          <a:extLst>
            <a:ext uri="{FF2B5EF4-FFF2-40B4-BE49-F238E27FC236}">
              <a16:creationId xmlns:a16="http://schemas.microsoft.com/office/drawing/2014/main" id="{90CBCEE5-44CE-EF9F-3E4A-3434563BD02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11658600" y="19535775"/>
          <a:ext cx="2943636" cy="6087325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jong park" refreshedDate="46219.578278703702" createdVersion="8" refreshedVersion="8" minRefreshableVersion="3" recordCount="12" xr:uid="{57B61E98-3CBC-46E5-8316-50909882459D}">
  <cacheSource type="worksheet">
    <worksheetSource ref="A3:F15" sheet="분석작업-1"/>
  </cacheSource>
  <cacheFields count="6">
    <cacheField name="사원명" numFmtId="0">
      <sharedItems count="12">
        <s v="윤동해"/>
        <s v="강조은"/>
        <s v="권혜리"/>
        <s v="안대인"/>
        <s v="심원진"/>
        <s v="곽슬빈"/>
        <s v="윤희수"/>
        <s v="전성수"/>
        <s v="곽하율"/>
        <s v="황은영"/>
        <s v="권민준"/>
        <s v="김선호"/>
      </sharedItems>
    </cacheField>
    <cacheField name="부서명" numFmtId="0">
      <sharedItems count="4">
        <s v="영업1팀"/>
        <s v="영업2팀"/>
        <s v="영업3팀"/>
        <s v="영업4팀"/>
      </sharedItems>
    </cacheField>
    <cacheField name="직위" numFmtId="0">
      <sharedItems/>
    </cacheField>
    <cacheField name="전반기" numFmtId="0">
      <sharedItems containsSemiMixedTypes="0" containsString="0" containsNumber="1" containsInteger="1" minValue="371" maxValue="626"/>
    </cacheField>
    <cacheField name="하반기" numFmtId="0">
      <sharedItems containsSemiMixedTypes="0" containsString="0" containsNumber="1" containsInteger="1" minValue="324" maxValue="727"/>
    </cacheField>
    <cacheField name="반품" numFmtId="0">
      <sharedItems containsSemiMixedTypes="0" containsString="0" containsNumber="1" containsInteger="1" minValue="7" maxValue="2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2">
  <r>
    <x v="0"/>
    <x v="0"/>
    <s v="과장"/>
    <n v="429"/>
    <n v="527"/>
    <n v="16"/>
  </r>
  <r>
    <x v="1"/>
    <x v="0"/>
    <s v="대리"/>
    <n v="624"/>
    <n v="602"/>
    <n v="7"/>
  </r>
  <r>
    <x v="2"/>
    <x v="0"/>
    <s v="대리"/>
    <n v="551"/>
    <n v="598"/>
    <n v="29"/>
  </r>
  <r>
    <x v="3"/>
    <x v="1"/>
    <s v="부장"/>
    <n v="532"/>
    <n v="469"/>
    <n v="9"/>
  </r>
  <r>
    <x v="4"/>
    <x v="1"/>
    <s v="과장"/>
    <n v="438"/>
    <n v="464"/>
    <n v="15"/>
  </r>
  <r>
    <x v="5"/>
    <x v="1"/>
    <s v="사원"/>
    <n v="399"/>
    <n v="491"/>
    <n v="11"/>
  </r>
  <r>
    <x v="6"/>
    <x v="2"/>
    <s v="과장"/>
    <n v="626"/>
    <n v="651"/>
    <n v="24"/>
  </r>
  <r>
    <x v="7"/>
    <x v="2"/>
    <s v="대리"/>
    <n v="468"/>
    <n v="575"/>
    <n v="12"/>
  </r>
  <r>
    <x v="8"/>
    <x v="2"/>
    <s v="사원"/>
    <n v="530"/>
    <n v="467"/>
    <n v="23"/>
  </r>
  <r>
    <x v="9"/>
    <x v="3"/>
    <s v="부장"/>
    <n v="468"/>
    <n v="421"/>
    <n v="8"/>
  </r>
  <r>
    <x v="10"/>
    <x v="3"/>
    <s v="대리"/>
    <n v="591"/>
    <n v="727"/>
    <n v="21"/>
  </r>
  <r>
    <x v="11"/>
    <x v="3"/>
    <s v="사원"/>
    <n v="371"/>
    <n v="324"/>
    <n v="18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8EF637E-5727-4CC2-BD77-7473E870CD83}" name="피벗 테이블1" cacheId="4" applyNumberFormats="0" applyBorderFormats="0" applyFontFormats="0" applyPatternFormats="0" applyAlignmentFormats="0" applyWidthHeightFormats="1" dataCaption="값" updatedVersion="8" minRefreshableVersion="3" useAutoFormatting="1" itemPrintTitles="1" createdVersion="8" indent="0" outline="1" outlineData="1" multipleFieldFilters="0">
  <location ref="A20:D25" firstHeaderRow="0" firstDataRow="1" firstDataCol="1" rowPageCount="1" colPageCount="1"/>
  <pivotFields count="6">
    <pivotField axis="axisPage" showAll="0">
      <items count="13">
        <item x="1"/>
        <item x="5"/>
        <item x="8"/>
        <item x="10"/>
        <item x="2"/>
        <item x="11"/>
        <item x="4"/>
        <item x="3"/>
        <item x="0"/>
        <item x="6"/>
        <item x="7"/>
        <item x="9"/>
        <item t="default"/>
      </items>
    </pivotField>
    <pivotField axis="axisRow" showAll="0">
      <items count="5">
        <item x="0"/>
        <item x="1"/>
        <item x="2"/>
        <item x="3"/>
        <item t="default"/>
      </items>
    </pivotField>
    <pivotField showAll="0"/>
    <pivotField dataField="1" showAll="0"/>
    <pivotField dataField="1" showAll="0"/>
    <pivotField dataField="1" showAll="0"/>
  </pivotFields>
  <rowFields count="1">
    <field x="1"/>
  </rowFields>
  <rowItems count="5">
    <i>
      <x/>
    </i>
    <i>
      <x v="1"/>
    </i>
    <i>
      <x v="2"/>
    </i>
    <i>
      <x v="3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1">
    <pageField fld="0" hier="-1"/>
  </pageFields>
  <dataFields count="3">
    <dataField name="합계 : 반품" fld="5" baseField="0" baseItem="0"/>
    <dataField name="평균 : 전반기" fld="3" subtotal="average" baseField="1" baseItem="0" numFmtId="178"/>
    <dataField name="평균 : 하반기" fld="4" subtotal="average" baseField="1" baseItem="0" numFmtId="178"/>
  </dataFields>
  <pivotTableStyleInfo name="PivotStyleMedium20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2013 - 2022 테마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CEA2BF-38A8-4915-8358-C2A615317BEC}">
  <dimension ref="A1:E9"/>
  <sheetViews>
    <sheetView workbookViewId="0"/>
  </sheetViews>
  <sheetFormatPr defaultRowHeight="16.5"/>
  <cols>
    <col min="1" max="1" width="14.375" bestFit="1" customWidth="1"/>
    <col min="4" max="4" width="10.625" bestFit="1" customWidth="1"/>
  </cols>
  <sheetData>
    <row r="1" spans="1:5">
      <c r="A1" t="s">
        <v>0</v>
      </c>
    </row>
    <row r="3" spans="1:5">
      <c r="A3" s="1"/>
      <c r="B3" s="1"/>
      <c r="C3" s="1"/>
      <c r="D3" s="1"/>
      <c r="E3" s="1"/>
    </row>
    <row r="4" spans="1:5">
      <c r="A4" s="1"/>
      <c r="B4" s="1"/>
      <c r="C4" s="1"/>
      <c r="D4" s="2"/>
      <c r="E4" s="1"/>
    </row>
    <row r="5" spans="1:5">
      <c r="A5" s="1"/>
      <c r="B5" s="1"/>
      <c r="C5" s="1"/>
      <c r="D5" s="2"/>
      <c r="E5" s="1"/>
    </row>
    <row r="6" spans="1:5">
      <c r="A6" s="1"/>
      <c r="B6" s="1"/>
      <c r="C6" s="1"/>
      <c r="D6" s="2"/>
      <c r="E6" s="1"/>
    </row>
    <row r="7" spans="1:5">
      <c r="A7" s="1"/>
      <c r="B7" s="1"/>
      <c r="C7" s="1"/>
      <c r="D7" s="2"/>
      <c r="E7" s="1"/>
    </row>
    <row r="8" spans="1:5">
      <c r="A8" s="1"/>
      <c r="B8" s="1"/>
      <c r="C8" s="1"/>
      <c r="D8" s="2"/>
      <c r="E8" s="1"/>
    </row>
    <row r="9" spans="1:5">
      <c r="A9" s="1"/>
      <c r="B9" s="1"/>
      <c r="C9" s="1"/>
      <c r="D9" s="2"/>
      <c r="E9" s="1"/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936C00-6E8B-4093-821C-3DC35A9ADC9A}">
  <dimension ref="A1:G11"/>
  <sheetViews>
    <sheetView workbookViewId="0">
      <selection activeCell="J9" sqref="J9"/>
    </sheetView>
  </sheetViews>
  <sheetFormatPr defaultRowHeight="16.5"/>
  <cols>
    <col min="3" max="3" width="10.625" bestFit="1" customWidth="1"/>
    <col min="4" max="4" width="9.125" bestFit="1" customWidth="1"/>
    <col min="5" max="5" width="10.625" bestFit="1" customWidth="1"/>
    <col min="7" max="7" width="10.375" bestFit="1" customWidth="1"/>
  </cols>
  <sheetData>
    <row r="1" spans="1:7" ht="30" customHeight="1">
      <c r="A1" s="32" t="s">
        <v>1</v>
      </c>
      <c r="B1" s="32"/>
      <c r="C1" s="32"/>
      <c r="D1" s="32"/>
      <c r="E1" s="32"/>
      <c r="F1" s="32"/>
      <c r="G1" s="32"/>
    </row>
    <row r="2" spans="1:7" ht="17.25" thickBot="1"/>
    <row r="3" spans="1:7">
      <c r="A3" s="15" t="s">
        <v>2</v>
      </c>
      <c r="B3" s="16" t="s">
        <v>3</v>
      </c>
      <c r="C3" s="16" t="s">
        <v>4</v>
      </c>
      <c r="D3" s="16" t="s">
        <v>5</v>
      </c>
      <c r="E3" s="16" t="s">
        <v>6</v>
      </c>
      <c r="F3" s="16" t="s">
        <v>7</v>
      </c>
      <c r="G3" s="17" t="s">
        <v>8</v>
      </c>
    </row>
    <row r="4" spans="1:7">
      <c r="A4" s="33" t="s">
        <v>9</v>
      </c>
      <c r="B4" s="3" t="s">
        <v>10</v>
      </c>
      <c r="C4" s="13">
        <v>6857000</v>
      </c>
      <c r="D4" s="13">
        <v>823000</v>
      </c>
      <c r="E4" s="13">
        <v>6034000</v>
      </c>
      <c r="F4" s="14">
        <v>10</v>
      </c>
      <c r="G4" s="18">
        <v>892000</v>
      </c>
    </row>
    <row r="5" spans="1:7">
      <c r="A5" s="33"/>
      <c r="B5" s="3" t="s">
        <v>11</v>
      </c>
      <c r="C5" s="13">
        <v>5246000</v>
      </c>
      <c r="D5" s="13">
        <v>630000</v>
      </c>
      <c r="E5" s="13">
        <v>4616000</v>
      </c>
      <c r="F5" s="14">
        <v>10</v>
      </c>
      <c r="G5" s="18">
        <v>531000</v>
      </c>
    </row>
    <row r="6" spans="1:7">
      <c r="A6" s="33" t="s">
        <v>12</v>
      </c>
      <c r="B6" s="3" t="s">
        <v>13</v>
      </c>
      <c r="C6" s="13">
        <v>4362000</v>
      </c>
      <c r="D6" s="13">
        <v>349000</v>
      </c>
      <c r="E6" s="13">
        <v>4013000</v>
      </c>
      <c r="F6" s="14">
        <v>7</v>
      </c>
      <c r="G6" s="18">
        <v>304000</v>
      </c>
    </row>
    <row r="7" spans="1:7">
      <c r="A7" s="33"/>
      <c r="B7" s="3" t="s">
        <v>14</v>
      </c>
      <c r="C7" s="13">
        <v>4100000</v>
      </c>
      <c r="D7" s="13">
        <v>328000</v>
      </c>
      <c r="E7" s="13">
        <v>3772000</v>
      </c>
      <c r="F7" s="14">
        <v>7</v>
      </c>
      <c r="G7" s="18">
        <v>322000</v>
      </c>
    </row>
    <row r="8" spans="1:7">
      <c r="A8" s="33" t="s">
        <v>15</v>
      </c>
      <c r="B8" s="3" t="s">
        <v>16</v>
      </c>
      <c r="C8" s="13">
        <v>2880000</v>
      </c>
      <c r="D8" s="13">
        <v>144000</v>
      </c>
      <c r="E8" s="13">
        <v>2736000</v>
      </c>
      <c r="F8" s="14">
        <v>5</v>
      </c>
      <c r="G8" s="18">
        <v>159000</v>
      </c>
    </row>
    <row r="9" spans="1:7">
      <c r="A9" s="33"/>
      <c r="B9" s="3" t="s">
        <v>17</v>
      </c>
      <c r="C9" s="13">
        <v>2524000</v>
      </c>
      <c r="D9" s="13">
        <v>126000</v>
      </c>
      <c r="E9" s="13">
        <v>2398000</v>
      </c>
      <c r="F9" s="14">
        <v>5</v>
      </c>
      <c r="G9" s="18">
        <v>146000</v>
      </c>
    </row>
    <row r="10" spans="1:7">
      <c r="A10" s="33" t="s">
        <v>18</v>
      </c>
      <c r="B10" s="3" t="s">
        <v>19</v>
      </c>
      <c r="C10" s="13">
        <v>893000</v>
      </c>
      <c r="D10" s="13">
        <v>18000</v>
      </c>
      <c r="E10" s="13">
        <v>875000</v>
      </c>
      <c r="F10" s="14">
        <v>2</v>
      </c>
      <c r="G10" s="18">
        <v>22000</v>
      </c>
    </row>
    <row r="11" spans="1:7" ht="17.25" thickBot="1">
      <c r="A11" s="34"/>
      <c r="B11" s="19" t="s">
        <v>20</v>
      </c>
      <c r="C11" s="20">
        <v>571000</v>
      </c>
      <c r="D11" s="20">
        <v>11000</v>
      </c>
      <c r="E11" s="20">
        <v>560000</v>
      </c>
      <c r="F11" s="21">
        <v>2</v>
      </c>
      <c r="G11" s="22">
        <v>35000</v>
      </c>
    </row>
  </sheetData>
  <mergeCells count="5">
    <mergeCell ref="A1:G1"/>
    <mergeCell ref="A4:A5"/>
    <mergeCell ref="A6:A7"/>
    <mergeCell ref="A8:A9"/>
    <mergeCell ref="A10:A11"/>
  </mergeCells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16816C-D5A4-40F0-BEDF-89F01DDDDE9C}">
  <dimension ref="B2:K36"/>
  <sheetViews>
    <sheetView workbookViewId="0">
      <selection activeCell="K19" sqref="K19"/>
    </sheetView>
  </sheetViews>
  <sheetFormatPr defaultRowHeight="16.5"/>
  <cols>
    <col min="1" max="1" width="3.625" customWidth="1"/>
  </cols>
  <sheetData>
    <row r="2" spans="2:7" ht="20.25">
      <c r="B2" s="35" t="s">
        <v>21</v>
      </c>
      <c r="C2" s="35"/>
      <c r="D2" s="35"/>
      <c r="E2" s="35"/>
      <c r="F2" s="35"/>
      <c r="G2" s="35"/>
    </row>
    <row r="4" spans="2:7">
      <c r="B4" t="s">
        <v>200</v>
      </c>
      <c r="C4" t="s">
        <v>201</v>
      </c>
      <c r="D4" t="s">
        <v>202</v>
      </c>
      <c r="E4" t="s">
        <v>203</v>
      </c>
      <c r="F4" t="s">
        <v>204</v>
      </c>
      <c r="G4" t="s">
        <v>82</v>
      </c>
    </row>
    <row r="5" spans="2:7">
      <c r="B5" t="s">
        <v>205</v>
      </c>
      <c r="C5" t="s">
        <v>206</v>
      </c>
      <c r="D5">
        <v>17.899999999999999</v>
      </c>
      <c r="E5">
        <v>26.9</v>
      </c>
      <c r="F5">
        <v>42.9</v>
      </c>
      <c r="G5">
        <v>70.099999999999994</v>
      </c>
    </row>
    <row r="6" spans="2:7">
      <c r="B6" t="s">
        <v>205</v>
      </c>
      <c r="C6" t="s">
        <v>207</v>
      </c>
      <c r="D6">
        <v>18.2</v>
      </c>
      <c r="E6">
        <v>23.5</v>
      </c>
      <c r="F6">
        <v>44.2</v>
      </c>
      <c r="G6">
        <v>69.3</v>
      </c>
    </row>
    <row r="7" spans="2:7">
      <c r="B7" t="s">
        <v>205</v>
      </c>
      <c r="C7" t="s">
        <v>208</v>
      </c>
      <c r="D7">
        <v>31.2</v>
      </c>
      <c r="E7">
        <v>38.4</v>
      </c>
      <c r="F7">
        <v>64.2</v>
      </c>
      <c r="G7">
        <v>69.400000000000006</v>
      </c>
    </row>
    <row r="8" spans="2:7">
      <c r="B8" t="s">
        <v>209</v>
      </c>
      <c r="C8" t="s">
        <v>206</v>
      </c>
      <c r="D8">
        <v>2.1</v>
      </c>
      <c r="E8">
        <v>5.2</v>
      </c>
      <c r="F8">
        <v>10.6</v>
      </c>
      <c r="G8">
        <v>17.8</v>
      </c>
    </row>
    <row r="9" spans="2:7">
      <c r="B9" t="s">
        <v>209</v>
      </c>
      <c r="C9" t="s">
        <v>207</v>
      </c>
      <c r="D9">
        <v>8.6</v>
      </c>
      <c r="E9">
        <v>9.4</v>
      </c>
      <c r="F9">
        <v>12.4</v>
      </c>
      <c r="G9">
        <v>16.5</v>
      </c>
    </row>
    <row r="10" spans="2:7">
      <c r="B10" t="s">
        <v>209</v>
      </c>
      <c r="C10" t="s">
        <v>208</v>
      </c>
      <c r="D10">
        <v>5.7</v>
      </c>
      <c r="E10">
        <v>8.3000000000000007</v>
      </c>
      <c r="F10">
        <v>13.3</v>
      </c>
      <c r="G10">
        <v>19.8</v>
      </c>
    </row>
    <row r="11" spans="2:7">
      <c r="B11" t="s">
        <v>210</v>
      </c>
      <c r="C11" t="s">
        <v>206</v>
      </c>
      <c r="D11">
        <v>-2.1</v>
      </c>
      <c r="E11">
        <v>0.2</v>
      </c>
      <c r="F11">
        <v>5.4</v>
      </c>
      <c r="G11">
        <v>11.9</v>
      </c>
    </row>
    <row r="12" spans="2:7">
      <c r="B12" t="s">
        <v>210</v>
      </c>
      <c r="C12" t="s">
        <v>207</v>
      </c>
      <c r="D12">
        <v>-1.9</v>
      </c>
      <c r="E12">
        <v>0.6</v>
      </c>
      <c r="F12">
        <v>5.7</v>
      </c>
      <c r="G12">
        <v>12.3</v>
      </c>
    </row>
    <row r="13" spans="2:7">
      <c r="B13" t="s">
        <v>210</v>
      </c>
      <c r="C13" t="s">
        <v>208</v>
      </c>
      <c r="D13">
        <v>0.1</v>
      </c>
      <c r="E13">
        <v>1.9</v>
      </c>
      <c r="F13">
        <v>6.6</v>
      </c>
      <c r="G13">
        <v>12.9</v>
      </c>
    </row>
    <row r="14" spans="2:7">
      <c r="B14" t="s">
        <v>211</v>
      </c>
      <c r="C14" t="s">
        <v>206</v>
      </c>
      <c r="D14">
        <v>58</v>
      </c>
      <c r="E14">
        <v>56</v>
      </c>
      <c r="F14">
        <v>56</v>
      </c>
      <c r="G14">
        <v>55</v>
      </c>
    </row>
    <row r="15" spans="2:7">
      <c r="B15" t="s">
        <v>211</v>
      </c>
      <c r="C15" t="s">
        <v>207</v>
      </c>
      <c r="D15">
        <v>62</v>
      </c>
      <c r="E15">
        <v>59</v>
      </c>
      <c r="F15">
        <v>58</v>
      </c>
      <c r="G15">
        <v>56</v>
      </c>
    </row>
    <row r="16" spans="2:7">
      <c r="B16" t="s">
        <v>211</v>
      </c>
      <c r="C16" t="s">
        <v>208</v>
      </c>
      <c r="D16">
        <v>68</v>
      </c>
      <c r="E16">
        <v>65</v>
      </c>
      <c r="F16">
        <v>62</v>
      </c>
      <c r="G16">
        <v>59</v>
      </c>
    </row>
    <row r="22" spans="11:11">
      <c r="K22" s="6" t="s">
        <v>212</v>
      </c>
    </row>
    <row r="23" spans="11:11">
      <c r="K23" t="s">
        <v>213</v>
      </c>
    </row>
    <row r="24" spans="11:11">
      <c r="K24" s="6" t="s">
        <v>214</v>
      </c>
    </row>
    <row r="25" spans="11:11">
      <c r="K25" s="6" t="s">
        <v>215</v>
      </c>
    </row>
    <row r="26" spans="11:11">
      <c r="K26" t="s">
        <v>216</v>
      </c>
    </row>
    <row r="27" spans="11:11">
      <c r="K27" s="23"/>
    </row>
    <row r="28" spans="11:11">
      <c r="K28" s="24" t="s">
        <v>217</v>
      </c>
    </row>
    <row r="29" spans="11:11">
      <c r="K29" s="23" t="s">
        <v>218</v>
      </c>
    </row>
    <row r="31" spans="11:11">
      <c r="K31" s="6" t="s">
        <v>219</v>
      </c>
    </row>
    <row r="32" spans="11:11">
      <c r="K32" t="s">
        <v>220</v>
      </c>
    </row>
    <row r="33" spans="11:11">
      <c r="K33" t="s">
        <v>221</v>
      </c>
    </row>
    <row r="34" spans="11:11">
      <c r="K34" t="s">
        <v>222</v>
      </c>
    </row>
    <row r="35" spans="11:11">
      <c r="K35" t="s">
        <v>223</v>
      </c>
    </row>
    <row r="36" spans="11:11">
      <c r="K36" t="s">
        <v>224</v>
      </c>
    </row>
  </sheetData>
  <mergeCells count="1">
    <mergeCell ref="B2:G2"/>
  </mergeCells>
  <phoneticPr fontId="1" type="noConversion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1A3564-7A62-438B-A5FB-D9CD11A3E157}">
  <dimension ref="A1:J35"/>
  <sheetViews>
    <sheetView topLeftCell="A13" workbookViewId="0">
      <selection activeCell="E35" sqref="E35"/>
    </sheetView>
  </sheetViews>
  <sheetFormatPr defaultRowHeight="16.5"/>
  <cols>
    <col min="4" max="4" width="10.875" bestFit="1" customWidth="1"/>
    <col min="5" max="5" width="11.75" bestFit="1" customWidth="1"/>
    <col min="7" max="7" width="10.375" bestFit="1" customWidth="1"/>
  </cols>
  <sheetData>
    <row r="1" spans="1:10">
      <c r="A1" s="5" t="s">
        <v>91</v>
      </c>
      <c r="B1" s="6" t="s">
        <v>92</v>
      </c>
      <c r="E1" s="7" t="s">
        <v>93</v>
      </c>
      <c r="F1" s="6" t="s">
        <v>94</v>
      </c>
      <c r="I1" s="25" t="s">
        <v>95</v>
      </c>
      <c r="J1" s="25"/>
    </row>
    <row r="2" spans="1:10">
      <c r="A2" s="3" t="s">
        <v>96</v>
      </c>
      <c r="B2" s="3" t="s">
        <v>97</v>
      </c>
      <c r="C2" s="8" t="s">
        <v>98</v>
      </c>
      <c r="E2" s="3" t="s">
        <v>99</v>
      </c>
      <c r="F2" s="3" t="s">
        <v>100</v>
      </c>
      <c r="G2" s="8" t="s">
        <v>101</v>
      </c>
      <c r="I2" s="3" t="s">
        <v>102</v>
      </c>
      <c r="J2" s="3" t="s">
        <v>101</v>
      </c>
    </row>
    <row r="3" spans="1:10">
      <c r="A3" s="3" t="s">
        <v>103</v>
      </c>
      <c r="B3" s="3">
        <v>91</v>
      </c>
      <c r="C3" s="3" t="str">
        <f>IF(_xlfn.RANK.EQ(B3,$B$3:$B$11)&lt;=3,CHOOSE(_xlfn.RANK.EQ(B3,$B$3:$B$11),"금메달","은메달","동메달"),"")</f>
        <v/>
      </c>
      <c r="E3" s="3" t="s">
        <v>104</v>
      </c>
      <c r="F3" s="3" t="s">
        <v>105</v>
      </c>
      <c r="G3" s="3" t="str">
        <f>UPPER(VLOOKUP(LEFT(F3,1),$I$3:$J$6,2,FALSE))</f>
        <v>PLANNING</v>
      </c>
      <c r="I3" s="3" t="s">
        <v>106</v>
      </c>
      <c r="J3" s="3" t="s">
        <v>107</v>
      </c>
    </row>
    <row r="4" spans="1:10">
      <c r="A4" s="3" t="s">
        <v>108</v>
      </c>
      <c r="B4" s="3">
        <v>95</v>
      </c>
      <c r="C4" s="3" t="str">
        <f t="shared" ref="C4:C11" si="0">IF(_xlfn.RANK.EQ(B4,$B$3:$B$11)&lt;=3,CHOOSE(_xlfn.RANK.EQ(B4,$B$3:$B$11),"금메달","은메달","동메달"),"")</f>
        <v>은메달</v>
      </c>
      <c r="E4" s="3" t="s">
        <v>109</v>
      </c>
      <c r="F4" s="3" t="s">
        <v>110</v>
      </c>
      <c r="G4" s="3" t="str">
        <f t="shared" ref="G4:G11" si="1">UPPER(VLOOKUP(LEFT(F4,1),$I$3:$J$6,2,FALSE))</f>
        <v>FINANCE</v>
      </c>
      <c r="I4" s="3" t="s">
        <v>111</v>
      </c>
      <c r="J4" s="3" t="s">
        <v>112</v>
      </c>
    </row>
    <row r="5" spans="1:10">
      <c r="A5" s="3" t="s">
        <v>113</v>
      </c>
      <c r="B5" s="3">
        <v>86</v>
      </c>
      <c r="C5" s="3" t="str">
        <f t="shared" si="0"/>
        <v/>
      </c>
      <c r="E5" s="3" t="s">
        <v>114</v>
      </c>
      <c r="F5" s="3" t="s">
        <v>115</v>
      </c>
      <c r="G5" s="3" t="str">
        <f t="shared" si="1"/>
        <v>LOGISTICS</v>
      </c>
      <c r="I5" s="3" t="s">
        <v>116</v>
      </c>
      <c r="J5" s="3" t="s">
        <v>117</v>
      </c>
    </row>
    <row r="6" spans="1:10">
      <c r="A6" s="3" t="s">
        <v>118</v>
      </c>
      <c r="B6" s="3">
        <v>86</v>
      </c>
      <c r="C6" s="3" t="str">
        <f t="shared" si="0"/>
        <v/>
      </c>
      <c r="E6" s="3" t="s">
        <v>119</v>
      </c>
      <c r="F6" s="3" t="s">
        <v>120</v>
      </c>
      <c r="G6" s="3" t="str">
        <f t="shared" si="1"/>
        <v>FINANCE</v>
      </c>
      <c r="I6" s="3" t="s">
        <v>121</v>
      </c>
      <c r="J6" s="3" t="s">
        <v>122</v>
      </c>
    </row>
    <row r="7" spans="1:10">
      <c r="A7" s="3" t="s">
        <v>123</v>
      </c>
      <c r="B7" s="3">
        <v>98</v>
      </c>
      <c r="C7" s="3" t="str">
        <f t="shared" si="0"/>
        <v>금메달</v>
      </c>
      <c r="E7" s="3" t="s">
        <v>124</v>
      </c>
      <c r="F7" s="3" t="s">
        <v>125</v>
      </c>
      <c r="G7" s="3" t="str">
        <f t="shared" si="1"/>
        <v>SALES</v>
      </c>
    </row>
    <row r="8" spans="1:10">
      <c r="A8" s="3" t="s">
        <v>126</v>
      </c>
      <c r="B8" s="3">
        <v>90</v>
      </c>
      <c r="C8" s="3" t="str">
        <f t="shared" si="0"/>
        <v/>
      </c>
      <c r="E8" s="3" t="s">
        <v>127</v>
      </c>
      <c r="F8" s="3" t="s">
        <v>128</v>
      </c>
      <c r="G8" s="3" t="str">
        <f t="shared" si="1"/>
        <v>PLANNING</v>
      </c>
    </row>
    <row r="9" spans="1:10">
      <c r="A9" s="3" t="s">
        <v>129</v>
      </c>
      <c r="B9" s="3">
        <v>86</v>
      </c>
      <c r="C9" s="3" t="str">
        <f t="shared" si="0"/>
        <v/>
      </c>
      <c r="E9" s="3" t="s">
        <v>130</v>
      </c>
      <c r="F9" s="3" t="s">
        <v>131</v>
      </c>
      <c r="G9" s="3" t="str">
        <f t="shared" si="1"/>
        <v>LOGISTICS</v>
      </c>
    </row>
    <row r="10" spans="1:10">
      <c r="A10" s="3" t="s">
        <v>132</v>
      </c>
      <c r="B10" s="3">
        <v>94</v>
      </c>
      <c r="C10" s="3" t="str">
        <f t="shared" si="0"/>
        <v>동메달</v>
      </c>
      <c r="E10" s="3" t="s">
        <v>133</v>
      </c>
      <c r="F10" s="3" t="s">
        <v>134</v>
      </c>
      <c r="G10" s="3" t="str">
        <f t="shared" si="1"/>
        <v>SALES</v>
      </c>
    </row>
    <row r="11" spans="1:10">
      <c r="A11" s="3" t="s">
        <v>135</v>
      </c>
      <c r="B11" s="3">
        <v>88</v>
      </c>
      <c r="C11" s="3" t="str">
        <f t="shared" si="0"/>
        <v/>
      </c>
      <c r="E11" s="3" t="s">
        <v>136</v>
      </c>
      <c r="F11" s="3" t="s">
        <v>137</v>
      </c>
      <c r="G11" s="3" t="str">
        <f t="shared" si="1"/>
        <v>PLANNING</v>
      </c>
    </row>
    <row r="13" spans="1:10">
      <c r="A13" s="7" t="s">
        <v>138</v>
      </c>
      <c r="B13" s="6" t="s">
        <v>139</v>
      </c>
      <c r="G13" s="7" t="s">
        <v>140</v>
      </c>
      <c r="H13" s="6" t="s">
        <v>141</v>
      </c>
    </row>
    <row r="14" spans="1:10">
      <c r="A14" s="3" t="s">
        <v>23</v>
      </c>
      <c r="B14" s="3" t="s">
        <v>142</v>
      </c>
      <c r="C14" s="3" t="s">
        <v>143</v>
      </c>
      <c r="D14" s="3" t="s">
        <v>144</v>
      </c>
      <c r="E14" s="8" t="s">
        <v>145</v>
      </c>
      <c r="G14" s="3" t="s">
        <v>146</v>
      </c>
      <c r="H14" s="3" t="s">
        <v>50</v>
      </c>
      <c r="I14" s="3" t="s">
        <v>147</v>
      </c>
      <c r="J14" s="3" t="s">
        <v>148</v>
      </c>
    </row>
    <row r="15" spans="1:10">
      <c r="A15" s="3" t="s">
        <v>149</v>
      </c>
      <c r="B15" s="3">
        <v>2022</v>
      </c>
      <c r="C15" s="3" t="s">
        <v>150</v>
      </c>
      <c r="D15" s="3" t="s">
        <v>151</v>
      </c>
      <c r="E15" s="3" t="str">
        <f>UPPER(LEFT(C15,3)&amp;"-"&amp;B15&amp;"-"&amp;RIGHT(C15,1))</f>
        <v>PRO-2022-K</v>
      </c>
      <c r="G15" s="3" t="s">
        <v>152</v>
      </c>
      <c r="H15" s="3" t="s">
        <v>153</v>
      </c>
      <c r="I15" s="3" t="s">
        <v>151</v>
      </c>
      <c r="J15" s="3">
        <v>86</v>
      </c>
    </row>
    <row r="16" spans="1:10">
      <c r="A16" s="3" t="s">
        <v>154</v>
      </c>
      <c r="B16" s="3">
        <v>2021</v>
      </c>
      <c r="C16" s="3" t="s">
        <v>155</v>
      </c>
      <c r="D16" s="3" t="s">
        <v>156</v>
      </c>
      <c r="E16" s="3" t="str">
        <f t="shared" ref="E16:E22" si="2">UPPER(LEFT(C16,3)&amp;"-"&amp;B16&amp;"-"&amp;RIGHT(C16,1))</f>
        <v>PLA-2021-D</v>
      </c>
      <c r="G16" s="3" t="s">
        <v>157</v>
      </c>
      <c r="H16" s="3" t="s">
        <v>158</v>
      </c>
      <c r="I16" s="3" t="s">
        <v>159</v>
      </c>
      <c r="J16" s="3">
        <v>91</v>
      </c>
    </row>
    <row r="17" spans="1:10">
      <c r="A17" s="3" t="s">
        <v>160</v>
      </c>
      <c r="B17" s="3">
        <v>2020</v>
      </c>
      <c r="C17" s="3" t="s">
        <v>161</v>
      </c>
      <c r="D17" s="3" t="s">
        <v>151</v>
      </c>
      <c r="E17" s="3" t="str">
        <f t="shared" si="2"/>
        <v>BCK-2020-A</v>
      </c>
      <c r="G17" s="3" t="s">
        <v>162</v>
      </c>
      <c r="H17" s="3" t="s">
        <v>163</v>
      </c>
      <c r="I17" s="3" t="s">
        <v>156</v>
      </c>
      <c r="J17" s="3">
        <v>75</v>
      </c>
    </row>
    <row r="18" spans="1:10">
      <c r="A18" s="3" t="s">
        <v>164</v>
      </c>
      <c r="B18" s="3">
        <v>2024</v>
      </c>
      <c r="C18" s="3" t="s">
        <v>165</v>
      </c>
      <c r="D18" s="3" t="s">
        <v>166</v>
      </c>
      <c r="E18" s="3" t="str">
        <f t="shared" si="2"/>
        <v>IUF-2024-E</v>
      </c>
      <c r="G18" s="3" t="s">
        <v>167</v>
      </c>
      <c r="H18" s="3" t="s">
        <v>168</v>
      </c>
      <c r="I18" s="3" t="s">
        <v>151</v>
      </c>
      <c r="J18" s="3">
        <v>69</v>
      </c>
    </row>
    <row r="19" spans="1:10">
      <c r="A19" s="3" t="s">
        <v>169</v>
      </c>
      <c r="B19" s="3">
        <v>2023</v>
      </c>
      <c r="C19" s="3" t="s">
        <v>170</v>
      </c>
      <c r="D19" s="3" t="s">
        <v>151</v>
      </c>
      <c r="E19" s="3" t="str">
        <f t="shared" si="2"/>
        <v>FVH-2023-P</v>
      </c>
      <c r="G19" s="3" t="s">
        <v>171</v>
      </c>
      <c r="H19" s="3" t="s">
        <v>172</v>
      </c>
      <c r="I19" s="3" t="s">
        <v>173</v>
      </c>
      <c r="J19" s="3">
        <v>95</v>
      </c>
    </row>
    <row r="20" spans="1:10">
      <c r="A20" s="3" t="s">
        <v>174</v>
      </c>
      <c r="B20" s="3">
        <v>2021</v>
      </c>
      <c r="C20" s="3" t="s">
        <v>175</v>
      </c>
      <c r="D20" s="3" t="s">
        <v>156</v>
      </c>
      <c r="E20" s="3" t="str">
        <f t="shared" si="2"/>
        <v>NCR-2021-U</v>
      </c>
      <c r="G20" s="3" t="s">
        <v>176</v>
      </c>
      <c r="H20" s="3" t="s">
        <v>177</v>
      </c>
      <c r="I20" s="3" t="s">
        <v>156</v>
      </c>
      <c r="J20" s="3">
        <v>82</v>
      </c>
    </row>
    <row r="21" spans="1:10">
      <c r="A21" s="3" t="s">
        <v>178</v>
      </c>
      <c r="B21" s="3">
        <v>2023</v>
      </c>
      <c r="C21" s="3" t="s">
        <v>179</v>
      </c>
      <c r="D21" s="3" t="s">
        <v>166</v>
      </c>
      <c r="E21" s="3" t="str">
        <f t="shared" si="2"/>
        <v>BLC-2023-Y</v>
      </c>
      <c r="G21" s="3" t="s">
        <v>180</v>
      </c>
      <c r="H21" s="3" t="s">
        <v>181</v>
      </c>
      <c r="I21" s="3" t="s">
        <v>159</v>
      </c>
      <c r="J21" s="3">
        <v>79</v>
      </c>
    </row>
    <row r="22" spans="1:10">
      <c r="A22" s="3" t="s">
        <v>182</v>
      </c>
      <c r="B22" s="3">
        <v>2021</v>
      </c>
      <c r="C22" s="3" t="s">
        <v>183</v>
      </c>
      <c r="D22" s="3" t="s">
        <v>156</v>
      </c>
      <c r="E22" s="3" t="str">
        <f t="shared" si="2"/>
        <v>NTO-2021-L</v>
      </c>
      <c r="G22" s="26" t="s">
        <v>184</v>
      </c>
      <c r="H22" s="27"/>
      <c r="I22" s="28"/>
      <c r="J22" s="3" t="str">
        <f>COUNTIF(I15:I21,"서울")&amp;"명"</f>
        <v>2명</v>
      </c>
    </row>
    <row r="24" spans="1:10">
      <c r="A24" s="7" t="s">
        <v>185</v>
      </c>
      <c r="B24" s="6" t="s">
        <v>186</v>
      </c>
    </row>
    <row r="25" spans="1:10">
      <c r="A25" s="9" t="s">
        <v>187</v>
      </c>
      <c r="B25" s="9" t="s">
        <v>188</v>
      </c>
      <c r="C25" s="9" t="s">
        <v>189</v>
      </c>
      <c r="D25" s="9" t="s">
        <v>190</v>
      </c>
    </row>
    <row r="26" spans="1:10">
      <c r="A26" s="10" t="s">
        <v>191</v>
      </c>
      <c r="B26" s="10" t="s">
        <v>192</v>
      </c>
      <c r="C26" s="11">
        <v>480</v>
      </c>
      <c r="D26" s="12">
        <v>2640000</v>
      </c>
    </row>
    <row r="27" spans="1:10">
      <c r="A27" s="10" t="s">
        <v>191</v>
      </c>
      <c r="B27" s="10" t="s">
        <v>193</v>
      </c>
      <c r="C27" s="11">
        <v>650</v>
      </c>
      <c r="D27" s="12">
        <v>3575000</v>
      </c>
    </row>
    <row r="28" spans="1:10">
      <c r="A28" s="10" t="s">
        <v>191</v>
      </c>
      <c r="B28" s="10" t="s">
        <v>194</v>
      </c>
      <c r="C28" s="11">
        <v>450</v>
      </c>
      <c r="D28" s="12">
        <v>2475000</v>
      </c>
    </row>
    <row r="29" spans="1:10">
      <c r="A29" s="10" t="s">
        <v>195</v>
      </c>
      <c r="B29" s="10" t="s">
        <v>192</v>
      </c>
      <c r="C29" s="11">
        <v>590</v>
      </c>
      <c r="D29" s="12">
        <v>3245000</v>
      </c>
    </row>
    <row r="30" spans="1:10">
      <c r="A30" s="10" t="s">
        <v>195</v>
      </c>
      <c r="B30" s="10" t="s">
        <v>193</v>
      </c>
      <c r="C30" s="11">
        <v>550</v>
      </c>
      <c r="D30" s="12">
        <v>3025000</v>
      </c>
    </row>
    <row r="31" spans="1:10">
      <c r="A31" s="10" t="s">
        <v>196</v>
      </c>
      <c r="B31" s="10" t="s">
        <v>197</v>
      </c>
      <c r="C31" s="11">
        <v>620</v>
      </c>
      <c r="D31" s="12">
        <v>3410000</v>
      </c>
    </row>
    <row r="32" spans="1:10">
      <c r="A32" s="10" t="s">
        <v>196</v>
      </c>
      <c r="B32" s="10" t="s">
        <v>194</v>
      </c>
      <c r="C32" s="11">
        <v>500</v>
      </c>
      <c r="D32" s="12">
        <v>2750000</v>
      </c>
    </row>
    <row r="33" spans="1:5">
      <c r="A33" s="10" t="s">
        <v>198</v>
      </c>
      <c r="B33" s="10" t="s">
        <v>193</v>
      </c>
      <c r="C33" s="11">
        <v>680</v>
      </c>
      <c r="D33" s="12">
        <v>3740000</v>
      </c>
    </row>
    <row r="34" spans="1:5">
      <c r="A34" s="10" t="s">
        <v>198</v>
      </c>
      <c r="B34" s="10" t="s">
        <v>197</v>
      </c>
      <c r="C34" s="11">
        <v>470</v>
      </c>
      <c r="D34" s="12">
        <v>2585000</v>
      </c>
    </row>
    <row r="35" spans="1:5">
      <c r="A35" s="29" t="s">
        <v>199</v>
      </c>
      <c r="B35" s="30"/>
      <c r="C35" s="31"/>
      <c r="D35" s="12">
        <f>LARGE(D26:D34,1)-SMALL(D26:D34,1)</f>
        <v>1265000</v>
      </c>
      <c r="E35" t="s">
        <v>225</v>
      </c>
    </row>
  </sheetData>
  <mergeCells count="3">
    <mergeCell ref="I1:J1"/>
    <mergeCell ref="G22:I22"/>
    <mergeCell ref="A35:C35"/>
  </mergeCells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044F2C-2C90-4A9D-9E04-B585C3172696}">
  <dimension ref="A1:N123"/>
  <sheetViews>
    <sheetView topLeftCell="A99" workbookViewId="0">
      <selection activeCell="K121" sqref="K121"/>
    </sheetView>
  </sheetViews>
  <sheetFormatPr defaultRowHeight="16.5"/>
  <cols>
    <col min="1" max="1" width="11.875" bestFit="1" customWidth="1"/>
    <col min="2" max="2" width="11.125" bestFit="1" customWidth="1"/>
    <col min="3" max="4" width="13.125" bestFit="1" customWidth="1"/>
  </cols>
  <sheetData>
    <row r="1" spans="1:6" ht="20.25">
      <c r="A1" s="35" t="s">
        <v>22</v>
      </c>
      <c r="B1" s="35"/>
      <c r="C1" s="35"/>
      <c r="D1" s="35"/>
      <c r="E1" s="35"/>
      <c r="F1" s="35"/>
    </row>
    <row r="3" spans="1:6">
      <c r="A3" s="3" t="s">
        <v>23</v>
      </c>
      <c r="B3" s="3" t="s">
        <v>24</v>
      </c>
      <c r="C3" s="3" t="s">
        <v>25</v>
      </c>
      <c r="D3" s="3" t="s">
        <v>26</v>
      </c>
      <c r="E3" s="3" t="s">
        <v>27</v>
      </c>
      <c r="F3" s="3" t="s">
        <v>28</v>
      </c>
    </row>
    <row r="4" spans="1:6">
      <c r="A4" s="3" t="s">
        <v>29</v>
      </c>
      <c r="B4" s="3" t="s">
        <v>30</v>
      </c>
      <c r="C4" s="3" t="s">
        <v>31</v>
      </c>
      <c r="D4" s="3">
        <v>429</v>
      </c>
      <c r="E4" s="3">
        <v>527</v>
      </c>
      <c r="F4" s="3">
        <v>16</v>
      </c>
    </row>
    <row r="5" spans="1:6">
      <c r="A5" s="3" t="s">
        <v>32</v>
      </c>
      <c r="B5" s="3" t="s">
        <v>30</v>
      </c>
      <c r="C5" s="3" t="s">
        <v>33</v>
      </c>
      <c r="D5" s="3">
        <v>624</v>
      </c>
      <c r="E5" s="3">
        <v>602</v>
      </c>
      <c r="F5" s="3">
        <v>7</v>
      </c>
    </row>
    <row r="6" spans="1:6">
      <c r="A6" s="3" t="s">
        <v>34</v>
      </c>
      <c r="B6" s="3" t="s">
        <v>30</v>
      </c>
      <c r="C6" s="3" t="s">
        <v>33</v>
      </c>
      <c r="D6" s="3">
        <v>551</v>
      </c>
      <c r="E6" s="3">
        <v>598</v>
      </c>
      <c r="F6" s="3">
        <v>29</v>
      </c>
    </row>
    <row r="7" spans="1:6">
      <c r="A7" s="3" t="s">
        <v>35</v>
      </c>
      <c r="B7" s="3" t="s">
        <v>36</v>
      </c>
      <c r="C7" s="3" t="s">
        <v>37</v>
      </c>
      <c r="D7" s="3">
        <v>532</v>
      </c>
      <c r="E7" s="3">
        <v>469</v>
      </c>
      <c r="F7" s="3">
        <v>9</v>
      </c>
    </row>
    <row r="8" spans="1:6">
      <c r="A8" s="3" t="s">
        <v>38</v>
      </c>
      <c r="B8" s="3" t="s">
        <v>36</v>
      </c>
      <c r="C8" s="3" t="s">
        <v>31</v>
      </c>
      <c r="D8" s="3">
        <v>438</v>
      </c>
      <c r="E8" s="3">
        <v>464</v>
      </c>
      <c r="F8" s="3">
        <v>15</v>
      </c>
    </row>
    <row r="9" spans="1:6">
      <c r="A9" s="3" t="s">
        <v>39</v>
      </c>
      <c r="B9" s="3" t="s">
        <v>36</v>
      </c>
      <c r="C9" s="3" t="s">
        <v>40</v>
      </c>
      <c r="D9" s="3">
        <v>399</v>
      </c>
      <c r="E9" s="3">
        <v>491</v>
      </c>
      <c r="F9" s="3">
        <v>11</v>
      </c>
    </row>
    <row r="10" spans="1:6">
      <c r="A10" s="3" t="s">
        <v>41</v>
      </c>
      <c r="B10" s="3" t="s">
        <v>42</v>
      </c>
      <c r="C10" s="3" t="s">
        <v>31</v>
      </c>
      <c r="D10" s="3">
        <v>626</v>
      </c>
      <c r="E10" s="3">
        <v>651</v>
      </c>
      <c r="F10" s="3">
        <v>24</v>
      </c>
    </row>
    <row r="11" spans="1:6">
      <c r="A11" s="3" t="s">
        <v>43</v>
      </c>
      <c r="B11" s="3" t="s">
        <v>42</v>
      </c>
      <c r="C11" s="3" t="s">
        <v>33</v>
      </c>
      <c r="D11" s="3">
        <v>468</v>
      </c>
      <c r="E11" s="3">
        <v>575</v>
      </c>
      <c r="F11" s="3">
        <v>12</v>
      </c>
    </row>
    <row r="12" spans="1:6">
      <c r="A12" s="3" t="s">
        <v>44</v>
      </c>
      <c r="B12" s="3" t="s">
        <v>42</v>
      </c>
      <c r="C12" s="3" t="s">
        <v>40</v>
      </c>
      <c r="D12" s="3">
        <v>530</v>
      </c>
      <c r="E12" s="3">
        <v>467</v>
      </c>
      <c r="F12" s="3">
        <v>23</v>
      </c>
    </row>
    <row r="13" spans="1:6">
      <c r="A13" s="3" t="s">
        <v>45</v>
      </c>
      <c r="B13" s="3" t="s">
        <v>46</v>
      </c>
      <c r="C13" s="3" t="s">
        <v>37</v>
      </c>
      <c r="D13" s="3">
        <v>468</v>
      </c>
      <c r="E13" s="3">
        <v>421</v>
      </c>
      <c r="F13" s="3">
        <v>8</v>
      </c>
    </row>
    <row r="14" spans="1:6">
      <c r="A14" s="3" t="s">
        <v>47</v>
      </c>
      <c r="B14" s="3" t="s">
        <v>46</v>
      </c>
      <c r="C14" s="3" t="s">
        <v>33</v>
      </c>
      <c r="D14" s="3">
        <v>591</v>
      </c>
      <c r="E14" s="3">
        <v>727</v>
      </c>
      <c r="F14" s="3">
        <v>21</v>
      </c>
    </row>
    <row r="15" spans="1:6">
      <c r="A15" s="3" t="s">
        <v>48</v>
      </c>
      <c r="B15" s="3" t="s">
        <v>46</v>
      </c>
      <c r="C15" s="3" t="s">
        <v>40</v>
      </c>
      <c r="D15" s="3">
        <v>371</v>
      </c>
      <c r="E15" s="3">
        <v>324</v>
      </c>
      <c r="F15" s="3">
        <v>18</v>
      </c>
    </row>
    <row r="18" spans="1:13">
      <c r="A18" s="36" t="s">
        <v>23</v>
      </c>
      <c r="B18" t="s">
        <v>226</v>
      </c>
    </row>
    <row r="20" spans="1:13">
      <c r="A20" s="36" t="s">
        <v>227</v>
      </c>
      <c r="B20" t="s">
        <v>229</v>
      </c>
      <c r="C20" t="s">
        <v>230</v>
      </c>
      <c r="D20" t="s">
        <v>231</v>
      </c>
    </row>
    <row r="21" spans="1:13">
      <c r="A21" s="37" t="s">
        <v>30</v>
      </c>
      <c r="B21" s="38">
        <v>52</v>
      </c>
      <c r="C21" s="39">
        <v>534.66666666666663</v>
      </c>
      <c r="D21" s="39">
        <v>575.66666666666663</v>
      </c>
    </row>
    <row r="22" spans="1:13">
      <c r="A22" s="37" t="s">
        <v>36</v>
      </c>
      <c r="B22" s="38">
        <v>35</v>
      </c>
      <c r="C22" s="39">
        <v>456.33333333333331</v>
      </c>
      <c r="D22" s="39">
        <v>474.66666666666669</v>
      </c>
    </row>
    <row r="23" spans="1:13">
      <c r="A23" s="37" t="s">
        <v>42</v>
      </c>
      <c r="B23" s="38">
        <v>59</v>
      </c>
      <c r="C23" s="39">
        <v>541.33333333333337</v>
      </c>
      <c r="D23" s="39">
        <v>564.33333333333337</v>
      </c>
    </row>
    <row r="24" spans="1:13">
      <c r="A24" s="37" t="s">
        <v>46</v>
      </c>
      <c r="B24" s="38">
        <v>47</v>
      </c>
      <c r="C24" s="39">
        <v>476.66666666666669</v>
      </c>
      <c r="D24" s="39">
        <v>490.66666666666669</v>
      </c>
    </row>
    <row r="25" spans="1:13">
      <c r="A25" s="37" t="s">
        <v>228</v>
      </c>
      <c r="B25" s="38">
        <v>193</v>
      </c>
      <c r="C25" s="39">
        <v>502.25</v>
      </c>
      <c r="D25" s="39">
        <v>526.33333333333337</v>
      </c>
    </row>
    <row r="30" spans="1:13">
      <c r="M30">
        <v>1</v>
      </c>
    </row>
    <row r="88" spans="13:14">
      <c r="M88">
        <v>2</v>
      </c>
      <c r="N88" t="s">
        <v>232</v>
      </c>
    </row>
    <row r="90" spans="13:14">
      <c r="N90" s="40" t="s">
        <v>233</v>
      </c>
    </row>
    <row r="91" spans="13:14">
      <c r="N91" s="40" t="s">
        <v>234</v>
      </c>
    </row>
    <row r="122" spans="13:14">
      <c r="M122">
        <v>3</v>
      </c>
      <c r="N122" t="s">
        <v>236</v>
      </c>
    </row>
    <row r="123" spans="13:14">
      <c r="N123" t="s">
        <v>235</v>
      </c>
    </row>
  </sheetData>
  <mergeCells count="1">
    <mergeCell ref="A1:F1"/>
  </mergeCells>
  <phoneticPr fontId="1" type="noConversion"/>
  <pageMargins left="0.7" right="0.7" top="0.75" bottom="0.75" header="0.3" footer="0.3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4AF1AF-2F93-471F-8713-AD783BB60808}">
  <dimension ref="A1:O28"/>
  <sheetViews>
    <sheetView workbookViewId="0">
      <selection activeCell="O26" sqref="O26:O28"/>
    </sheetView>
  </sheetViews>
  <sheetFormatPr defaultRowHeight="16.5"/>
  <sheetData>
    <row r="1" spans="1:15" ht="20.25">
      <c r="A1" s="35" t="s">
        <v>49</v>
      </c>
      <c r="B1" s="35"/>
      <c r="C1" s="35"/>
      <c r="D1" s="35"/>
      <c r="E1" s="35"/>
      <c r="F1" s="35"/>
      <c r="G1" s="35"/>
    </row>
    <row r="3" spans="1:15">
      <c r="A3" s="3" t="s">
        <v>50</v>
      </c>
      <c r="B3" s="3" t="s">
        <v>24</v>
      </c>
      <c r="C3" s="3" t="s">
        <v>51</v>
      </c>
      <c r="D3" s="3" t="s">
        <v>52</v>
      </c>
      <c r="E3" s="3" t="s">
        <v>53</v>
      </c>
      <c r="F3" s="3" t="s">
        <v>54</v>
      </c>
      <c r="G3" s="3" t="s">
        <v>55</v>
      </c>
    </row>
    <row r="4" spans="1:15">
      <c r="A4" s="3" t="s">
        <v>56</v>
      </c>
      <c r="B4" s="3" t="s">
        <v>57</v>
      </c>
      <c r="C4" s="3">
        <v>79</v>
      </c>
      <c r="D4" s="3">
        <v>77</v>
      </c>
      <c r="E4" s="3">
        <v>84</v>
      </c>
      <c r="F4" s="3">
        <v>73</v>
      </c>
      <c r="G4" s="4">
        <f>AVERAGE(C4:F4)</f>
        <v>78.25</v>
      </c>
    </row>
    <row r="5" spans="1:15">
      <c r="A5" s="3" t="s">
        <v>58</v>
      </c>
      <c r="B5" s="3" t="s">
        <v>59</v>
      </c>
      <c r="C5" s="3">
        <v>83</v>
      </c>
      <c r="D5" s="3">
        <v>91</v>
      </c>
      <c r="E5" s="3">
        <v>90</v>
      </c>
      <c r="F5" s="3">
        <v>89</v>
      </c>
      <c r="G5" s="4">
        <f t="shared" ref="G5:G12" si="0">AVERAGE(C5:F5)</f>
        <v>88.25</v>
      </c>
    </row>
    <row r="6" spans="1:15">
      <c r="A6" s="3" t="s">
        <v>60</v>
      </c>
      <c r="B6" s="3" t="s">
        <v>61</v>
      </c>
      <c r="C6" s="3">
        <v>94</v>
      </c>
      <c r="D6" s="3">
        <v>95</v>
      </c>
      <c r="E6" s="3">
        <v>96</v>
      </c>
      <c r="F6" s="3">
        <v>97</v>
      </c>
      <c r="G6" s="4">
        <f t="shared" si="0"/>
        <v>95.5</v>
      </c>
    </row>
    <row r="7" spans="1:15">
      <c r="A7" s="3" t="s">
        <v>62</v>
      </c>
      <c r="B7" s="3" t="s">
        <v>59</v>
      </c>
      <c r="C7" s="3">
        <v>92</v>
      </c>
      <c r="D7" s="3">
        <v>90</v>
      </c>
      <c r="E7" s="3">
        <v>93</v>
      </c>
      <c r="F7" s="3">
        <v>91</v>
      </c>
      <c r="G7" s="4">
        <f t="shared" si="0"/>
        <v>91.5</v>
      </c>
    </row>
    <row r="8" spans="1:15">
      <c r="A8" s="3" t="s">
        <v>63</v>
      </c>
      <c r="B8" s="3" t="s">
        <v>61</v>
      </c>
      <c r="C8" s="3">
        <v>95</v>
      </c>
      <c r="D8" s="3">
        <v>93</v>
      </c>
      <c r="E8" s="3">
        <v>83</v>
      </c>
      <c r="F8" s="3">
        <v>89</v>
      </c>
      <c r="G8" s="4">
        <f t="shared" si="0"/>
        <v>90</v>
      </c>
    </row>
    <row r="9" spans="1:15">
      <c r="A9" s="3" t="s">
        <v>64</v>
      </c>
      <c r="B9" s="3" t="s">
        <v>57</v>
      </c>
      <c r="C9" s="3">
        <v>91</v>
      </c>
      <c r="D9" s="3">
        <v>94</v>
      </c>
      <c r="E9" s="3">
        <v>88</v>
      </c>
      <c r="F9" s="3">
        <v>90</v>
      </c>
      <c r="G9" s="4">
        <f t="shared" si="0"/>
        <v>90.75</v>
      </c>
    </row>
    <row r="10" spans="1:15">
      <c r="A10" s="3" t="s">
        <v>65</v>
      </c>
      <c r="B10" s="3" t="s">
        <v>57</v>
      </c>
      <c r="C10" s="3">
        <v>83</v>
      </c>
      <c r="D10" s="3">
        <v>76</v>
      </c>
      <c r="E10" s="3">
        <v>80</v>
      </c>
      <c r="F10" s="3">
        <v>92</v>
      </c>
      <c r="G10" s="4">
        <f t="shared" si="0"/>
        <v>82.75</v>
      </c>
    </row>
    <row r="11" spans="1:15">
      <c r="A11" s="3" t="s">
        <v>66</v>
      </c>
      <c r="B11" s="3" t="s">
        <v>61</v>
      </c>
      <c r="C11" s="3">
        <v>91</v>
      </c>
      <c r="D11" s="3">
        <v>83</v>
      </c>
      <c r="E11" s="3">
        <v>90</v>
      </c>
      <c r="F11" s="3">
        <v>87</v>
      </c>
      <c r="G11" s="4">
        <f t="shared" si="0"/>
        <v>87.75</v>
      </c>
    </row>
    <row r="12" spans="1:15">
      <c r="A12" s="3" t="s">
        <v>67</v>
      </c>
      <c r="B12" s="3" t="s">
        <v>59</v>
      </c>
      <c r="C12" s="3">
        <v>72</v>
      </c>
      <c r="D12" s="3">
        <v>69</v>
      </c>
      <c r="E12" s="3">
        <v>76</v>
      </c>
      <c r="F12" s="3">
        <v>65</v>
      </c>
      <c r="G12" s="4">
        <f t="shared" si="0"/>
        <v>70.5</v>
      </c>
    </row>
    <row r="16" spans="1:15">
      <c r="O16" t="s">
        <v>237</v>
      </c>
    </row>
    <row r="26" spans="15:15">
      <c r="O26" t="s">
        <v>238</v>
      </c>
    </row>
    <row r="27" spans="15:15">
      <c r="O27" t="s">
        <v>239</v>
      </c>
    </row>
    <row r="28" spans="15:15">
      <c r="O28" t="s">
        <v>240</v>
      </c>
    </row>
  </sheetData>
  <mergeCells count="1">
    <mergeCell ref="A1:G1"/>
  </mergeCells>
  <phoneticPr fontId="1" type="noConversion"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6AEC2F-CF8A-44C0-9915-529DC9125597}">
  <dimension ref="A1:E11"/>
  <sheetViews>
    <sheetView workbookViewId="0">
      <selection activeCell="J10" sqref="J10"/>
    </sheetView>
  </sheetViews>
  <sheetFormatPr defaultRowHeight="16.5"/>
  <cols>
    <col min="3" max="3" width="9.625" customWidth="1"/>
    <col min="5" max="5" width="9.625" customWidth="1"/>
  </cols>
  <sheetData>
    <row r="1" spans="1:5" ht="20.25">
      <c r="A1" s="35" t="s">
        <v>68</v>
      </c>
      <c r="B1" s="35"/>
      <c r="C1" s="35"/>
      <c r="D1" s="35"/>
      <c r="E1" s="35"/>
    </row>
    <row r="3" spans="1:5">
      <c r="A3" s="3" t="s">
        <v>69</v>
      </c>
      <c r="B3" s="3" t="s">
        <v>70</v>
      </c>
      <c r="C3" s="3" t="s">
        <v>71</v>
      </c>
      <c r="D3" s="3" t="s">
        <v>72</v>
      </c>
      <c r="E3" s="3" t="s">
        <v>73</v>
      </c>
    </row>
    <row r="4" spans="1:5">
      <c r="A4" s="3" t="s">
        <v>74</v>
      </c>
      <c r="B4" s="3">
        <v>251</v>
      </c>
      <c r="C4" s="41">
        <v>35980</v>
      </c>
      <c r="D4" s="41">
        <v>3598</v>
      </c>
      <c r="E4" s="41">
        <f>SUM(C4,D4)</f>
        <v>39578</v>
      </c>
    </row>
    <row r="5" spans="1:5">
      <c r="A5" s="3" t="s">
        <v>75</v>
      </c>
      <c r="B5" s="3">
        <v>487</v>
      </c>
      <c r="C5" s="41">
        <v>103980</v>
      </c>
      <c r="D5" s="41">
        <v>10398</v>
      </c>
      <c r="E5" s="41">
        <f t="shared" ref="E5:E11" si="0">SUM(C5,D5)</f>
        <v>114378</v>
      </c>
    </row>
    <row r="6" spans="1:5">
      <c r="A6" s="3" t="s">
        <v>67</v>
      </c>
      <c r="B6" s="3">
        <v>335</v>
      </c>
      <c r="C6" s="41">
        <v>54610</v>
      </c>
      <c r="D6" s="41">
        <v>5461</v>
      </c>
      <c r="E6" s="41">
        <f t="shared" si="0"/>
        <v>60071</v>
      </c>
    </row>
    <row r="7" spans="1:5">
      <c r="A7" s="3" t="s">
        <v>76</v>
      </c>
      <c r="B7" s="3">
        <v>192</v>
      </c>
      <c r="C7" s="41">
        <v>18410</v>
      </c>
      <c r="D7" s="41">
        <v>1841</v>
      </c>
      <c r="E7" s="41">
        <f t="shared" si="0"/>
        <v>20251</v>
      </c>
    </row>
    <row r="8" spans="1:5">
      <c r="A8" s="3" t="s">
        <v>77</v>
      </c>
      <c r="B8" s="3">
        <v>576</v>
      </c>
      <c r="C8" s="41">
        <v>133110</v>
      </c>
      <c r="D8" s="41">
        <v>13311</v>
      </c>
      <c r="E8" s="41">
        <f t="shared" si="0"/>
        <v>146421</v>
      </c>
    </row>
    <row r="9" spans="1:5">
      <c r="A9" s="3" t="s">
        <v>78</v>
      </c>
      <c r="B9" s="3">
        <v>209</v>
      </c>
      <c r="C9" s="41">
        <v>26660</v>
      </c>
      <c r="D9" s="41">
        <v>2666</v>
      </c>
      <c r="E9" s="41">
        <f t="shared" si="0"/>
        <v>29326</v>
      </c>
    </row>
    <row r="10" spans="1:5">
      <c r="A10" s="3" t="s">
        <v>79</v>
      </c>
      <c r="B10" s="3">
        <v>388</v>
      </c>
      <c r="C10" s="41">
        <v>66370</v>
      </c>
      <c r="D10" s="41">
        <v>6637</v>
      </c>
      <c r="E10" s="41">
        <f t="shared" si="0"/>
        <v>73007</v>
      </c>
    </row>
    <row r="11" spans="1:5">
      <c r="A11" s="3" t="s">
        <v>66</v>
      </c>
      <c r="B11" s="3">
        <v>415</v>
      </c>
      <c r="C11" s="41">
        <v>80420</v>
      </c>
      <c r="D11" s="41">
        <v>8042</v>
      </c>
      <c r="E11" s="41">
        <f t="shared" si="0"/>
        <v>88462</v>
      </c>
    </row>
  </sheetData>
  <mergeCells count="1">
    <mergeCell ref="A1:E1"/>
  </mergeCells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Fill="0" autoPict="0" macro="[0]!통화">
                <anchor moveWithCells="1" sizeWithCells="1">
                  <from>
                    <xdr:col>6</xdr:col>
                    <xdr:colOff>0</xdr:colOff>
                    <xdr:row>5</xdr:row>
                    <xdr:rowOff>0</xdr:rowOff>
                  </from>
                  <to>
                    <xdr:col>8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3F88B5-BAF1-4578-BEF1-98C10810EC91}">
  <dimension ref="A1:E9"/>
  <sheetViews>
    <sheetView tabSelected="1" workbookViewId="0">
      <selection activeCell="J16" sqref="J16"/>
    </sheetView>
  </sheetViews>
  <sheetFormatPr defaultRowHeight="16.5"/>
  <sheetData>
    <row r="1" spans="1:5" ht="20.25">
      <c r="A1" s="35" t="s">
        <v>80</v>
      </c>
      <c r="B1" s="35"/>
      <c r="C1" s="35"/>
      <c r="D1" s="35"/>
      <c r="E1" s="35"/>
    </row>
    <row r="3" spans="1:5">
      <c r="A3" s="3" t="s">
        <v>81</v>
      </c>
      <c r="B3" s="3" t="s">
        <v>82</v>
      </c>
      <c r="C3" s="3" t="s">
        <v>83</v>
      </c>
      <c r="D3" s="3" t="s">
        <v>84</v>
      </c>
      <c r="E3" s="3" t="s">
        <v>55</v>
      </c>
    </row>
    <row r="4" spans="1:5">
      <c r="A4" s="3" t="s">
        <v>85</v>
      </c>
      <c r="B4" s="3">
        <v>83</v>
      </c>
      <c r="C4" s="3">
        <v>73</v>
      </c>
      <c r="D4" s="3">
        <v>84</v>
      </c>
      <c r="E4" s="3">
        <v>80</v>
      </c>
    </row>
    <row r="5" spans="1:5">
      <c r="A5" s="3" t="s">
        <v>86</v>
      </c>
      <c r="B5" s="3">
        <v>40</v>
      </c>
      <c r="C5" s="3">
        <v>45</v>
      </c>
      <c r="D5" s="3">
        <v>44</v>
      </c>
      <c r="E5" s="3">
        <v>43</v>
      </c>
    </row>
    <row r="6" spans="1:5">
      <c r="A6" s="3" t="s">
        <v>87</v>
      </c>
      <c r="B6" s="3">
        <v>37</v>
      </c>
      <c r="C6" s="3">
        <v>33</v>
      </c>
      <c r="D6" s="3">
        <v>38</v>
      </c>
      <c r="E6" s="3">
        <v>36</v>
      </c>
    </row>
    <row r="7" spans="1:5">
      <c r="A7" s="3" t="s">
        <v>88</v>
      </c>
      <c r="B7" s="3">
        <v>44</v>
      </c>
      <c r="C7" s="3">
        <v>40</v>
      </c>
      <c r="D7" s="3">
        <v>42</v>
      </c>
      <c r="E7" s="3">
        <v>42</v>
      </c>
    </row>
    <row r="8" spans="1:5">
      <c r="A8" s="3" t="s">
        <v>89</v>
      </c>
      <c r="B8" s="3">
        <v>72</v>
      </c>
      <c r="C8" s="3">
        <v>70</v>
      </c>
      <c r="D8" s="3">
        <v>65</v>
      </c>
      <c r="E8" s="3">
        <v>69</v>
      </c>
    </row>
    <row r="9" spans="1:5">
      <c r="A9" s="3" t="s">
        <v>90</v>
      </c>
      <c r="B9" s="3">
        <v>73</v>
      </c>
      <c r="C9" s="3">
        <v>71</v>
      </c>
      <c r="D9" s="3">
        <v>78</v>
      </c>
      <c r="E9" s="3">
        <v>74</v>
      </c>
    </row>
  </sheetData>
  <mergeCells count="1">
    <mergeCell ref="A1:E1"/>
  </mergeCells>
  <phoneticPr fontId="1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8</vt:i4>
      </vt:variant>
      <vt:variant>
        <vt:lpstr>이름 지정된 범위</vt:lpstr>
      </vt:variant>
      <vt:variant>
        <vt:i4>2</vt:i4>
      </vt:variant>
    </vt:vector>
  </HeadingPairs>
  <TitlesOfParts>
    <vt:vector size="10" baseType="lpstr">
      <vt:lpstr>기본작업-1</vt:lpstr>
      <vt:lpstr>기본작업-2</vt:lpstr>
      <vt:lpstr>기본작업-3</vt:lpstr>
      <vt:lpstr>계산작업</vt:lpstr>
      <vt:lpstr>분석작업-1</vt:lpstr>
      <vt:lpstr>분석작업-2</vt:lpstr>
      <vt:lpstr>매크로작업</vt:lpstr>
      <vt:lpstr>차트작업</vt:lpstr>
      <vt:lpstr>결재액</vt:lpstr>
      <vt:lpstr>누적포인트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김종일</dc:creator>
  <cp:lastModifiedBy>jong park</cp:lastModifiedBy>
  <dcterms:created xsi:type="dcterms:W3CDTF">2025-02-05T04:40:07Z</dcterms:created>
  <dcterms:modified xsi:type="dcterms:W3CDTF">2026-07-16T05:24:22Z</dcterms:modified>
</cp:coreProperties>
</file>