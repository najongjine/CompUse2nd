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2_메일링용\2025년 컴활2급 상시06\"/>
    </mc:Choice>
  </mc:AlternateContent>
  <xr:revisionPtr revIDLastSave="0" documentId="13_ncr:1_{0B4DD4EC-B99D-42F1-B107-BA41837A0155}" xr6:coauthVersionLast="47" xr6:coauthVersionMax="47" xr10:uidLastSave="{00000000-0000-0000-0000-000000000000}"/>
  <bookViews>
    <workbookView xWindow="-32160" yWindow="3230" windowWidth="22430" windowHeight="17480" xr2:uid="{454C2710-479D-43CF-B081-445713A883DF}"/>
  </bookViews>
  <sheets>
    <sheet name="기본작업-1" sheetId="11" r:id="rId1"/>
    <sheet name="기본작업-2" sheetId="2" r:id="rId2"/>
    <sheet name="기본작업-3" sheetId="9" r:id="rId3"/>
    <sheet name="계산작업" sheetId="16" r:id="rId4"/>
    <sheet name="분석작업-1" sheetId="12" r:id="rId5"/>
    <sheet name="분석작업-2" sheetId="13" r:id="rId6"/>
    <sheet name="매크로작업" sheetId="14" r:id="rId7"/>
    <sheet name="차트작업" sheetId="15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6" i="16" l="1"/>
  <c r="E35" i="16"/>
  <c r="E34" i="16"/>
  <c r="E33" i="16"/>
  <c r="E32" i="16"/>
  <c r="E31" i="16"/>
  <c r="E30" i="16"/>
  <c r="E29" i="16"/>
  <c r="E28" i="16"/>
</calcChain>
</file>

<file path=xl/sharedStrings.xml><?xml version="1.0" encoding="utf-8"?>
<sst xmlns="http://schemas.openxmlformats.org/spreadsheetml/2006/main" count="315" uniqueCount="230">
  <si>
    <t>상공문고 도서 입고 현황</t>
  </si>
  <si>
    <t>도서명</t>
  </si>
  <si>
    <t>저자</t>
  </si>
  <si>
    <t>쪽수</t>
  </si>
  <si>
    <t>출판년도</t>
  </si>
  <si>
    <t>입고일</t>
  </si>
  <si>
    <t>입고량</t>
  </si>
  <si>
    <t>총지급액</t>
  </si>
  <si>
    <t>소비자의 생각</t>
  </si>
  <si>
    <t>김정준</t>
  </si>
  <si>
    <t>2020년</t>
  </si>
  <si>
    <t>불편한 도서관</t>
  </si>
  <si>
    <t>최민정</t>
  </si>
  <si>
    <t>2016년</t>
  </si>
  <si>
    <t>개구리 식당</t>
  </si>
  <si>
    <t>배성진</t>
  </si>
  <si>
    <t>2019년</t>
  </si>
  <si>
    <t>마지막 수업</t>
  </si>
  <si>
    <t>장애라</t>
  </si>
  <si>
    <t>2021년</t>
  </si>
  <si>
    <t>부자의 심리학</t>
  </si>
  <si>
    <t>신석영</t>
  </si>
  <si>
    <t>돈 차갑게 다루어라</t>
  </si>
  <si>
    <t>유영조</t>
  </si>
  <si>
    <t>2018년</t>
  </si>
  <si>
    <t>월가의 그릇</t>
  </si>
  <si>
    <t>구주와</t>
  </si>
  <si>
    <t>2022년</t>
  </si>
  <si>
    <t>식사의 중요성</t>
  </si>
  <si>
    <t>윤석남</t>
  </si>
  <si>
    <t>맨발로 걷는 길</t>
  </si>
  <si>
    <t>김태호</t>
  </si>
  <si>
    <t>2017년</t>
  </si>
  <si>
    <t>착한 차별주의자</t>
  </si>
  <si>
    <t>이서희</t>
  </si>
  <si>
    <t>지역별 도서관 운영현황</t>
  </si>
  <si>
    <t>지역</t>
  </si>
  <si>
    <t>공공도서관</t>
  </si>
  <si>
    <t>전문도서관</t>
  </si>
  <si>
    <t>대학도서관</t>
  </si>
  <si>
    <t>학교도서관</t>
  </si>
  <si>
    <t>경기</t>
  </si>
  <si>
    <t>서울</t>
  </si>
  <si>
    <t>인천</t>
  </si>
  <si>
    <t>충남</t>
  </si>
  <si>
    <t>충북</t>
  </si>
  <si>
    <t>경남</t>
  </si>
  <si>
    <t>경북</t>
  </si>
  <si>
    <t>전남</t>
  </si>
  <si>
    <t>전북</t>
  </si>
  <si>
    <t>강원</t>
  </si>
  <si>
    <t>부산</t>
  </si>
  <si>
    <t>대구</t>
  </si>
  <si>
    <t>울산</t>
  </si>
  <si>
    <t>제주</t>
  </si>
  <si>
    <t>상공아트홀 공연 예매 현황</t>
    <phoneticPr fontId="1" type="noConversion"/>
  </si>
  <si>
    <t>[표1]</t>
  </si>
  <si>
    <t>경기지역 판매량</t>
  </si>
  <si>
    <t>[표2]</t>
  </si>
  <si>
    <t>인천지역 판매량</t>
  </si>
  <si>
    <t>제품</t>
  </si>
  <si>
    <t>1분기</t>
  </si>
  <si>
    <t>2분기</t>
  </si>
  <si>
    <t>3분기</t>
  </si>
  <si>
    <t>4분기</t>
  </si>
  <si>
    <t>침대</t>
  </si>
  <si>
    <t>소파</t>
  </si>
  <si>
    <t>식탁</t>
  </si>
  <si>
    <t>책상</t>
  </si>
  <si>
    <t>[표3]</t>
  </si>
  <si>
    <t>서울지역 판매량</t>
  </si>
  <si>
    <t>[표4]</t>
  </si>
  <si>
    <t>수도권 판매량 합계</t>
  </si>
  <si>
    <t>상공스포츠 회원 명단</t>
  </si>
  <si>
    <t>종목</t>
  </si>
  <si>
    <t>성명</t>
  </si>
  <si>
    <t>성별</t>
  </si>
  <si>
    <t>나이</t>
  </si>
  <si>
    <t>가입년도</t>
  </si>
  <si>
    <t>구분</t>
  </si>
  <si>
    <t>수영</t>
  </si>
  <si>
    <t>강다은</t>
  </si>
  <si>
    <t>여</t>
  </si>
  <si>
    <t>정회원</t>
  </si>
  <si>
    <t>헬스</t>
  </si>
  <si>
    <t>양준석</t>
  </si>
  <si>
    <t>남</t>
  </si>
  <si>
    <t>준회원</t>
  </si>
  <si>
    <t>골프</t>
  </si>
  <si>
    <t>임정민</t>
  </si>
  <si>
    <t>테니스</t>
  </si>
  <si>
    <t>안수혜</t>
  </si>
  <si>
    <t>송채호</t>
  </si>
  <si>
    <t>최소율</t>
  </si>
  <si>
    <t>홍재일</t>
  </si>
  <si>
    <t>권종헌</t>
  </si>
  <si>
    <t>강두환</t>
  </si>
  <si>
    <t>임영아</t>
  </si>
  <si>
    <t>김한순</t>
  </si>
  <si>
    <t>최성완</t>
  </si>
  <si>
    <t>김경아</t>
  </si>
  <si>
    <t>유해리</t>
  </si>
  <si>
    <t>상공김치 판매 현황</t>
  </si>
  <si>
    <t>상품명</t>
  </si>
  <si>
    <t>단위</t>
  </si>
  <si>
    <t>판매가격</t>
  </si>
  <si>
    <t>판매수량</t>
  </si>
  <si>
    <t>판매총액</t>
  </si>
  <si>
    <t>포기김치</t>
  </si>
  <si>
    <t>5kg</t>
  </si>
  <si>
    <t>깍두기</t>
  </si>
  <si>
    <t>3kg</t>
  </si>
  <si>
    <t>갓김치</t>
  </si>
  <si>
    <t>나박김치</t>
  </si>
  <si>
    <t>3.6kg</t>
  </si>
  <si>
    <t>총각김치</t>
  </si>
  <si>
    <t>열무김치</t>
  </si>
  <si>
    <t>2.5kg</t>
  </si>
  <si>
    <t>백김치</t>
  </si>
  <si>
    <t>물김치</t>
  </si>
  <si>
    <t>품목별 매입/사용 현황</t>
  </si>
  <si>
    <t>품목</t>
  </si>
  <si>
    <t>단가</t>
  </si>
  <si>
    <t>매입량</t>
  </si>
  <si>
    <t>사용량</t>
  </si>
  <si>
    <t>재고량</t>
  </si>
  <si>
    <t>샴푸</t>
  </si>
  <si>
    <t>염색약</t>
  </si>
  <si>
    <t>트리트먼트</t>
  </si>
  <si>
    <t>에센스</t>
  </si>
  <si>
    <t>파마약</t>
  </si>
  <si>
    <t>중화제</t>
  </si>
  <si>
    <t>합계</t>
  </si>
  <si>
    <t>사원관리</t>
  </si>
  <si>
    <t>[표2]</t>
    <phoneticPr fontId="1" type="noConversion"/>
  </si>
  <si>
    <t>도서 대여 현황</t>
  </si>
  <si>
    <t>사원번호</t>
  </si>
  <si>
    <t>사원명</t>
  </si>
  <si>
    <t>부서명</t>
  </si>
  <si>
    <t>소속</t>
  </si>
  <si>
    <t>도서코드</t>
  </si>
  <si>
    <t>대출일자</t>
  </si>
  <si>
    <t>대출기간</t>
  </si>
  <si>
    <t>반납일자</t>
  </si>
  <si>
    <t>A-1529</t>
  </si>
  <si>
    <t>김준용</t>
  </si>
  <si>
    <t>기획부</t>
  </si>
  <si>
    <t>G10351</t>
  </si>
  <si>
    <t>B-6011</t>
  </si>
  <si>
    <t>이경실</t>
  </si>
  <si>
    <t>P82509</t>
  </si>
  <si>
    <t>A-2768</t>
  </si>
  <si>
    <t>허안주</t>
  </si>
  <si>
    <t>E52043</t>
  </si>
  <si>
    <t>A-0644</t>
  </si>
  <si>
    <t>이동준</t>
  </si>
  <si>
    <t>영업부</t>
  </si>
  <si>
    <t>G35614</t>
  </si>
  <si>
    <t>B-9537</t>
  </si>
  <si>
    <t>고강민</t>
  </si>
  <si>
    <t>G74952</t>
  </si>
  <si>
    <t>B-2436</t>
  </si>
  <si>
    <t>김민경</t>
  </si>
  <si>
    <t>P25078</t>
  </si>
  <si>
    <t>A-8167</t>
  </si>
  <si>
    <t>한상현</t>
  </si>
  <si>
    <t>관리부</t>
  </si>
  <si>
    <t>E29677</t>
  </si>
  <si>
    <t>A-3551</t>
  </si>
  <si>
    <t>김단희</t>
  </si>
  <si>
    <t>P46611</t>
  </si>
  <si>
    <t>B-0472</t>
  </si>
  <si>
    <t>이동엽</t>
  </si>
  <si>
    <t>P30967</t>
  </si>
  <si>
    <t>[표3]</t>
    <phoneticPr fontId="1" type="noConversion"/>
  </si>
  <si>
    <t>사원별 판매실적</t>
    <phoneticPr fontId="1" type="noConversion"/>
  </si>
  <si>
    <t>[표4]</t>
    <phoneticPr fontId="1" type="noConversion"/>
  </si>
  <si>
    <t>1학기 성적표</t>
    <phoneticPr fontId="1" type="noConversion"/>
  </si>
  <si>
    <t>사원명</t>
    <phoneticPr fontId="1" type="noConversion"/>
  </si>
  <si>
    <t>부서</t>
    <phoneticPr fontId="1" type="noConversion"/>
  </si>
  <si>
    <t>실적</t>
    <phoneticPr fontId="1" type="noConversion"/>
  </si>
  <si>
    <t>이름</t>
    <phoneticPr fontId="1" type="noConversion"/>
  </si>
  <si>
    <t>과학기술</t>
    <phoneticPr fontId="1" type="noConversion"/>
  </si>
  <si>
    <t>문화예술</t>
    <phoneticPr fontId="1" type="noConversion"/>
  </si>
  <si>
    <t>역사철학</t>
    <phoneticPr fontId="1" type="noConversion"/>
  </si>
  <si>
    <t>학점</t>
    <phoneticPr fontId="1" type="noConversion"/>
  </si>
  <si>
    <t>김가은</t>
  </si>
  <si>
    <t>영업1팀</t>
    <phoneticPr fontId="1" type="noConversion"/>
  </si>
  <si>
    <t>김두완</t>
    <phoneticPr fontId="1" type="noConversion"/>
  </si>
  <si>
    <t>윤주헌</t>
  </si>
  <si>
    <t>영업2팀</t>
    <phoneticPr fontId="1" type="noConversion"/>
  </si>
  <si>
    <t>박영재</t>
  </si>
  <si>
    <t>한원우</t>
  </si>
  <si>
    <t>이지환</t>
    <phoneticPr fontId="1" type="noConversion"/>
  </si>
  <si>
    <t>한미진</t>
    <phoneticPr fontId="1" type="noConversion"/>
  </si>
  <si>
    <t>전서혜</t>
    <phoneticPr fontId="1" type="noConversion"/>
  </si>
  <si>
    <t>이은경</t>
    <phoneticPr fontId="1" type="noConversion"/>
  </si>
  <si>
    <t>유가온</t>
    <phoneticPr fontId="1" type="noConversion"/>
  </si>
  <si>
    <t>정상혁</t>
  </si>
  <si>
    <t>권도현</t>
  </si>
  <si>
    <t>노경호</t>
    <phoneticPr fontId="1" type="noConversion"/>
  </si>
  <si>
    <t>배재현</t>
  </si>
  <si>
    <t>윤정희</t>
    <phoneticPr fontId="1" type="noConversion"/>
  </si>
  <si>
    <t>&lt;조건&gt;</t>
    <phoneticPr fontId="1" type="noConversion"/>
  </si>
  <si>
    <t>김영택</t>
    <phoneticPr fontId="1" type="noConversion"/>
  </si>
  <si>
    <t>강소정</t>
    <phoneticPr fontId="1" type="noConversion"/>
  </si>
  <si>
    <t>권애린</t>
    <phoneticPr fontId="1" type="noConversion"/>
  </si>
  <si>
    <t>최대실적평균</t>
    <phoneticPr fontId="1" type="noConversion"/>
  </si>
  <si>
    <t>조종연</t>
    <phoneticPr fontId="1" type="noConversion"/>
  </si>
  <si>
    <t>[표5]</t>
    <phoneticPr fontId="1" type="noConversion"/>
  </si>
  <si>
    <t>사원평가표</t>
    <phoneticPr fontId="1" type="noConversion"/>
  </si>
  <si>
    <t>근태</t>
    <phoneticPr fontId="1" type="noConversion"/>
  </si>
  <si>
    <t>시험</t>
    <phoneticPr fontId="1" type="noConversion"/>
  </si>
  <si>
    <t>총점</t>
    <phoneticPr fontId="1" type="noConversion"/>
  </si>
  <si>
    <t>평가</t>
    <phoneticPr fontId="1" type="noConversion"/>
  </si>
  <si>
    <t>최소희</t>
  </si>
  <si>
    <t>조채아</t>
  </si>
  <si>
    <t>고아지</t>
  </si>
  <si>
    <t>손호준</t>
    <phoneticPr fontId="1" type="noConversion"/>
  </si>
  <si>
    <t>허은우</t>
  </si>
  <si>
    <t>황지성</t>
    <phoneticPr fontId="1" type="noConversion"/>
  </si>
  <si>
    <t>송도원</t>
  </si>
  <si>
    <t>양주희</t>
    <phoneticPr fontId="1" type="noConversion"/>
  </si>
  <si>
    <t>김성한</t>
    <phoneticPr fontId="1" type="noConversion"/>
  </si>
  <si>
    <t>&lt;평가기준표&gt;</t>
    <phoneticPr fontId="1" type="noConversion"/>
  </si>
  <si>
    <t>순위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</si>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</sst>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0" xfId="1" applyFont="1">
      <alignment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4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2" applyFont="1">
      <alignment vertical="center"/>
    </xf>
    <xf numFmtId="176" fontId="0" fillId="0" borderId="1" xfId="1" applyNumberFormat="1" applyFon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 2" xfId="2" xr:uid="{E0C3ABC2-9B16-4071-8A00-94CA163A84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단가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  <c:pt idx="6">
                  <c:v>합계</c:v>
                </c:pt>
              </c:strCache>
            </c:strRef>
          </c:cat>
          <c:val>
            <c:numRef>
              <c:f>차트작업!$B$4:$B$10</c:f>
              <c:numCache>
                <c:formatCode>#,##0_ </c:formatCode>
                <c:ptCount val="7"/>
                <c:pt idx="0">
                  <c:v>6800</c:v>
                </c:pt>
                <c:pt idx="1">
                  <c:v>5750</c:v>
                </c:pt>
                <c:pt idx="2">
                  <c:v>7900</c:v>
                </c:pt>
                <c:pt idx="3">
                  <c:v>8200</c:v>
                </c:pt>
                <c:pt idx="4">
                  <c:v>4900</c:v>
                </c:pt>
                <c:pt idx="5">
                  <c:v>3550</c:v>
                </c:pt>
                <c:pt idx="6">
                  <c:v>37100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8B-41CE-8EC4-4641625F03D0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매입량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  <c:pt idx="6">
                  <c:v>합계</c:v>
                </c:pt>
              </c:strCache>
            </c:strRef>
          </c:cat>
          <c:val>
            <c:numRef>
              <c:f>차트작업!$C$4:$C$10</c:f>
              <c:numCache>
                <c:formatCode>#,##0_ </c:formatCode>
                <c:ptCount val="7"/>
                <c:pt idx="0">
                  <c:v>120</c:v>
                </c:pt>
                <c:pt idx="1">
                  <c:v>150</c:v>
                </c:pt>
                <c:pt idx="2">
                  <c:v>100</c:v>
                </c:pt>
                <c:pt idx="3">
                  <c:v>80</c:v>
                </c:pt>
                <c:pt idx="4">
                  <c:v>220</c:v>
                </c:pt>
                <c:pt idx="5">
                  <c:v>200</c:v>
                </c:pt>
                <c:pt idx="6">
                  <c:v>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B-41CE-8EC4-4641625F03D0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사용량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  <c:pt idx="6">
                  <c:v>합계</c:v>
                </c:pt>
              </c:strCache>
            </c:strRef>
          </c:cat>
          <c:val>
            <c:numRef>
              <c:f>차트작업!$D$4:$D$10</c:f>
              <c:numCache>
                <c:formatCode>#,##0_ </c:formatCode>
                <c:ptCount val="7"/>
                <c:pt idx="0">
                  <c:v>112</c:v>
                </c:pt>
                <c:pt idx="1">
                  <c:v>128</c:v>
                </c:pt>
                <c:pt idx="2">
                  <c:v>79</c:v>
                </c:pt>
                <c:pt idx="3">
                  <c:v>61</c:v>
                </c:pt>
                <c:pt idx="4">
                  <c:v>208</c:v>
                </c:pt>
                <c:pt idx="5">
                  <c:v>184</c:v>
                </c:pt>
                <c:pt idx="6">
                  <c:v>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8B-41CE-8EC4-4641625F03D0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재고량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  <c:pt idx="6">
                  <c:v>합계</c:v>
                </c:pt>
              </c:strCache>
            </c:strRef>
          </c:cat>
          <c:val>
            <c:numRef>
              <c:f>차트작업!$E$4:$E$10</c:f>
              <c:numCache>
                <c:formatCode>#,##0_ </c:formatCode>
                <c:ptCount val="7"/>
                <c:pt idx="0">
                  <c:v>8</c:v>
                </c:pt>
                <c:pt idx="1">
                  <c:v>22</c:v>
                </c:pt>
                <c:pt idx="2">
                  <c:v>21</c:v>
                </c:pt>
                <c:pt idx="3">
                  <c:v>19</c:v>
                </c:pt>
                <c:pt idx="4">
                  <c:v>12</c:v>
                </c:pt>
                <c:pt idx="5">
                  <c:v>16</c:v>
                </c:pt>
                <c:pt idx="6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8B-41CE-8EC4-4641625F0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9059679"/>
        <c:axId val="879051775"/>
      </c:barChart>
      <c:catAx>
        <c:axId val="879059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9051775"/>
        <c:crosses val="autoZero"/>
        <c:auto val="1"/>
        <c:lblAlgn val="ctr"/>
        <c:lblOffset val="100"/>
        <c:noMultiLvlLbl val="0"/>
      </c:catAx>
      <c:valAx>
        <c:axId val="87905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9059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0C6F82-A2AE-458D-9429-D016136D5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externalLinkPath" Target="2&#44553;&#49345;&#49884;06_&#51221;&#45813;.xlsm" TargetMode="External"/><Relationship Id="rId2" Type="http://schemas.openxmlformats.org/officeDocument/2006/relationships/externalLinkPath" Target="2&#44553;&#49345;&#49884;06_&#51221;&#45813;.xlsm" TargetMode="External"/><Relationship Id="rId1" Type="http://schemas.openxmlformats.org/officeDocument/2006/relationships/externalLinkPath" Target="2&#44553;&#49345;&#49884;06_&#51221;&#45813;.xlsm" TargetMode="External"/><Relationship Id="rId4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E843E-BFDB-410C-99EE-DA1A1A665E35}">
  <dimension ref="A1:F8"/>
  <sheetViews>
    <sheetView tabSelected="1" workbookViewId="0"/>
  </sheetViews>
  <sheetFormatPr defaultRowHeight="17" x14ac:dyDescent="0.45"/>
  <cols>
    <col min="2" max="2" width="14.33203125" bestFit="1" customWidth="1"/>
    <col min="3" max="3" width="12.33203125" bestFit="1" customWidth="1"/>
  </cols>
  <sheetData>
    <row r="1" spans="1:6" x14ac:dyDescent="0.45">
      <c r="A1" t="s">
        <v>55</v>
      </c>
    </row>
    <row r="3" spans="1:6" x14ac:dyDescent="0.45">
      <c r="A3" s="1"/>
      <c r="B3" s="1"/>
      <c r="C3" s="1"/>
      <c r="D3" s="1"/>
      <c r="E3" s="1"/>
      <c r="F3" s="1"/>
    </row>
    <row r="4" spans="1:6" x14ac:dyDescent="0.45">
      <c r="A4" s="1"/>
      <c r="B4" s="1"/>
      <c r="C4" s="1"/>
      <c r="D4" s="1"/>
      <c r="E4" s="2"/>
      <c r="F4" s="1"/>
    </row>
    <row r="5" spans="1:6" x14ac:dyDescent="0.45">
      <c r="A5" s="1"/>
      <c r="B5" s="1"/>
      <c r="C5" s="1"/>
      <c r="D5" s="1"/>
      <c r="E5" s="2"/>
      <c r="F5" s="1"/>
    </row>
    <row r="6" spans="1:6" x14ac:dyDescent="0.45">
      <c r="A6" s="1"/>
      <c r="B6" s="1"/>
      <c r="C6" s="1"/>
      <c r="D6" s="1"/>
      <c r="E6" s="2"/>
      <c r="F6" s="1"/>
    </row>
    <row r="7" spans="1:6" x14ac:dyDescent="0.45">
      <c r="A7" s="1"/>
      <c r="B7" s="1"/>
      <c r="C7" s="1"/>
      <c r="D7" s="1"/>
      <c r="E7" s="2"/>
      <c r="F7" s="1"/>
    </row>
    <row r="8" spans="1:6" x14ac:dyDescent="0.45">
      <c r="A8" s="1"/>
      <c r="B8" s="1"/>
      <c r="C8" s="1"/>
      <c r="D8" s="1"/>
      <c r="E8" s="2"/>
      <c r="F8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G13"/>
  <sheetViews>
    <sheetView workbookViewId="0"/>
  </sheetViews>
  <sheetFormatPr defaultRowHeight="17" x14ac:dyDescent="0.45"/>
  <cols>
    <col min="1" max="1" width="17.75" bestFit="1" customWidth="1"/>
    <col min="5" max="5" width="10.75" bestFit="1" customWidth="1"/>
  </cols>
  <sheetData>
    <row r="1" spans="1:7" x14ac:dyDescent="0.45">
      <c r="A1" t="s">
        <v>0</v>
      </c>
    </row>
    <row r="3" spans="1:7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45">
      <c r="A4" s="1" t="s">
        <v>8</v>
      </c>
      <c r="B4" s="1" t="s">
        <v>9</v>
      </c>
      <c r="C4" s="1">
        <v>320</v>
      </c>
      <c r="D4" s="1" t="s">
        <v>10</v>
      </c>
      <c r="E4" s="3">
        <v>45388</v>
      </c>
      <c r="F4" s="4">
        <v>1000</v>
      </c>
      <c r="G4">
        <v>16200000</v>
      </c>
    </row>
    <row r="5" spans="1:7" x14ac:dyDescent="0.45">
      <c r="A5" s="1" t="s">
        <v>11</v>
      </c>
      <c r="B5" s="1" t="s">
        <v>12</v>
      </c>
      <c r="C5" s="1">
        <v>250</v>
      </c>
      <c r="D5" s="1" t="s">
        <v>13</v>
      </c>
      <c r="E5" s="3">
        <v>45388</v>
      </c>
      <c r="F5" s="4">
        <v>500</v>
      </c>
      <c r="G5">
        <v>7936000</v>
      </c>
    </row>
    <row r="6" spans="1:7" x14ac:dyDescent="0.45">
      <c r="A6" s="1" t="s">
        <v>14</v>
      </c>
      <c r="B6" s="1" t="s">
        <v>15</v>
      </c>
      <c r="C6" s="1">
        <v>300</v>
      </c>
      <c r="D6" s="1" t="s">
        <v>16</v>
      </c>
      <c r="E6" s="3">
        <v>45389</v>
      </c>
      <c r="F6" s="4">
        <v>900</v>
      </c>
      <c r="G6">
        <v>13446000</v>
      </c>
    </row>
    <row r="7" spans="1:7" x14ac:dyDescent="0.45">
      <c r="A7" s="1" t="s">
        <v>17</v>
      </c>
      <c r="B7" s="1" t="s">
        <v>18</v>
      </c>
      <c r="C7" s="1">
        <v>360</v>
      </c>
      <c r="D7" s="1" t="s">
        <v>19</v>
      </c>
      <c r="E7" s="3">
        <v>45389</v>
      </c>
      <c r="F7" s="4">
        <v>1200</v>
      </c>
      <c r="G7">
        <v>21384000</v>
      </c>
    </row>
    <row r="8" spans="1:7" x14ac:dyDescent="0.45">
      <c r="A8" s="1" t="s">
        <v>20</v>
      </c>
      <c r="B8" s="1" t="s">
        <v>21</v>
      </c>
      <c r="C8" s="1">
        <v>295</v>
      </c>
      <c r="D8" s="1" t="s">
        <v>10</v>
      </c>
      <c r="E8" s="3">
        <v>45389</v>
      </c>
      <c r="F8" s="4">
        <v>1000</v>
      </c>
      <c r="G8">
        <v>13120000</v>
      </c>
    </row>
    <row r="9" spans="1:7" x14ac:dyDescent="0.45">
      <c r="A9" s="1" t="s">
        <v>22</v>
      </c>
      <c r="B9" s="1" t="s">
        <v>23</v>
      </c>
      <c r="C9" s="1">
        <v>440</v>
      </c>
      <c r="D9" s="1" t="s">
        <v>24</v>
      </c>
      <c r="E9" s="3">
        <v>45394</v>
      </c>
      <c r="F9" s="4">
        <v>1000</v>
      </c>
      <c r="G9">
        <v>22500000</v>
      </c>
    </row>
    <row r="10" spans="1:7" x14ac:dyDescent="0.45">
      <c r="A10" s="1" t="s">
        <v>25</v>
      </c>
      <c r="B10" s="1" t="s">
        <v>26</v>
      </c>
      <c r="C10" s="1">
        <v>350</v>
      </c>
      <c r="D10" s="1" t="s">
        <v>27</v>
      </c>
      <c r="E10" s="3">
        <v>45394</v>
      </c>
      <c r="F10" s="4">
        <v>900</v>
      </c>
      <c r="G10">
        <v>13050000</v>
      </c>
    </row>
    <row r="11" spans="1:7" x14ac:dyDescent="0.45">
      <c r="A11" s="1" t="s">
        <v>28</v>
      </c>
      <c r="B11" s="1" t="s">
        <v>29</v>
      </c>
      <c r="C11" s="1">
        <v>400</v>
      </c>
      <c r="D11" s="1" t="s">
        <v>19</v>
      </c>
      <c r="E11" s="3">
        <v>45396</v>
      </c>
      <c r="F11" s="4">
        <v>800</v>
      </c>
      <c r="G11">
        <v>21120000</v>
      </c>
    </row>
    <row r="12" spans="1:7" x14ac:dyDescent="0.45">
      <c r="A12" s="1" t="s">
        <v>30</v>
      </c>
      <c r="B12" s="1" t="s">
        <v>31</v>
      </c>
      <c r="C12" s="1">
        <v>330</v>
      </c>
      <c r="D12" s="1" t="s">
        <v>32</v>
      </c>
      <c r="E12" s="3">
        <v>45400</v>
      </c>
      <c r="F12" s="4">
        <v>1200</v>
      </c>
      <c r="G12">
        <v>17280000</v>
      </c>
    </row>
    <row r="13" spans="1:7" x14ac:dyDescent="0.45">
      <c r="A13" s="1" t="s">
        <v>33</v>
      </c>
      <c r="B13" s="1" t="s">
        <v>34</v>
      </c>
      <c r="C13" s="1">
        <v>420</v>
      </c>
      <c r="D13" s="1" t="s">
        <v>19</v>
      </c>
      <c r="E13" s="3">
        <v>45400</v>
      </c>
      <c r="F13" s="4">
        <v>600</v>
      </c>
      <c r="G13">
        <v>15900000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ABEF2-8299-40EB-9996-428ED256E427}">
  <dimension ref="A1:E25"/>
  <sheetViews>
    <sheetView workbookViewId="0">
      <selection sqref="A1:E1"/>
    </sheetView>
  </sheetViews>
  <sheetFormatPr defaultRowHeight="17" x14ac:dyDescent="0.45"/>
  <cols>
    <col min="1" max="5" width="10.58203125" customWidth="1"/>
  </cols>
  <sheetData>
    <row r="1" spans="1:5" ht="21" x14ac:dyDescent="0.45">
      <c r="A1" s="14" t="s">
        <v>35</v>
      </c>
      <c r="B1" s="14"/>
      <c r="C1" s="14"/>
      <c r="D1" s="14"/>
      <c r="E1" s="14"/>
    </row>
    <row r="3" spans="1:5" x14ac:dyDescent="0.4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</row>
    <row r="4" spans="1:5" x14ac:dyDescent="0.45">
      <c r="A4" s="5" t="s">
        <v>41</v>
      </c>
      <c r="B4" s="5">
        <v>105</v>
      </c>
      <c r="C4" s="5">
        <v>135</v>
      </c>
      <c r="D4" s="5">
        <v>34</v>
      </c>
      <c r="E4" s="5">
        <v>867</v>
      </c>
    </row>
    <row r="5" spans="1:5" x14ac:dyDescent="0.45">
      <c r="A5" s="5" t="s">
        <v>42</v>
      </c>
      <c r="B5" s="5">
        <v>135</v>
      </c>
      <c r="C5" s="5">
        <v>204</v>
      </c>
      <c r="D5" s="5">
        <v>42</v>
      </c>
      <c r="E5" s="6">
        <v>1064</v>
      </c>
    </row>
    <row r="6" spans="1:5" x14ac:dyDescent="0.45">
      <c r="A6" s="5" t="s">
        <v>43</v>
      </c>
      <c r="B6" s="5">
        <v>86</v>
      </c>
      <c r="C6" s="5">
        <v>93</v>
      </c>
      <c r="D6" s="5">
        <v>16</v>
      </c>
      <c r="E6" s="5">
        <v>537</v>
      </c>
    </row>
    <row r="7" spans="1:5" x14ac:dyDescent="0.45">
      <c r="A7" s="5" t="s">
        <v>44</v>
      </c>
      <c r="B7" s="5">
        <v>54</v>
      </c>
      <c r="C7" s="5">
        <v>58</v>
      </c>
      <c r="D7" s="5">
        <v>22</v>
      </c>
      <c r="E7" s="5">
        <v>356</v>
      </c>
    </row>
    <row r="8" spans="1:5" x14ac:dyDescent="0.45">
      <c r="A8" s="5" t="s">
        <v>45</v>
      </c>
      <c r="B8" s="5">
        <v>38</v>
      </c>
      <c r="C8" s="5">
        <v>47</v>
      </c>
      <c r="D8" s="5">
        <v>21</v>
      </c>
      <c r="E8" s="5">
        <v>313</v>
      </c>
    </row>
    <row r="9" spans="1:5" x14ac:dyDescent="0.45">
      <c r="A9" s="5" t="s">
        <v>46</v>
      </c>
      <c r="B9" s="5">
        <v>35</v>
      </c>
      <c r="C9" s="5">
        <v>68</v>
      </c>
      <c r="D9" s="5">
        <v>16</v>
      </c>
      <c r="E9" s="5">
        <v>542</v>
      </c>
    </row>
    <row r="10" spans="1:5" x14ac:dyDescent="0.45">
      <c r="A10" s="5" t="s">
        <v>47</v>
      </c>
      <c r="B10" s="5">
        <v>26</v>
      </c>
      <c r="C10" s="5">
        <v>51</v>
      </c>
      <c r="D10" s="5">
        <v>23</v>
      </c>
      <c r="E10" s="5">
        <v>315</v>
      </c>
    </row>
    <row r="11" spans="1:5" x14ac:dyDescent="0.45">
      <c r="A11" s="5" t="s">
        <v>48</v>
      </c>
      <c r="B11" s="5">
        <v>40</v>
      </c>
      <c r="C11" s="5">
        <v>37</v>
      </c>
      <c r="D11" s="5">
        <v>25</v>
      </c>
      <c r="E11" s="5">
        <v>352</v>
      </c>
    </row>
    <row r="12" spans="1:5" x14ac:dyDescent="0.45">
      <c r="A12" s="5" t="s">
        <v>49</v>
      </c>
      <c r="B12" s="5">
        <v>31</v>
      </c>
      <c r="C12" s="5">
        <v>29</v>
      </c>
      <c r="D12" s="5">
        <v>13</v>
      </c>
      <c r="E12" s="5">
        <v>311</v>
      </c>
    </row>
    <row r="13" spans="1:5" x14ac:dyDescent="0.45">
      <c r="A13" s="5" t="s">
        <v>50</v>
      </c>
      <c r="B13" s="5">
        <v>28</v>
      </c>
      <c r="C13" s="5">
        <v>16</v>
      </c>
      <c r="D13" s="5">
        <v>18</v>
      </c>
      <c r="E13" s="5">
        <v>295</v>
      </c>
    </row>
    <row r="14" spans="1:5" x14ac:dyDescent="0.45">
      <c r="A14" s="5" t="s">
        <v>51</v>
      </c>
      <c r="B14" s="5">
        <v>111</v>
      </c>
      <c r="C14" s="5">
        <v>107</v>
      </c>
      <c r="D14" s="5">
        <v>31</v>
      </c>
      <c r="E14" s="5">
        <v>684</v>
      </c>
    </row>
    <row r="15" spans="1:5" x14ac:dyDescent="0.45">
      <c r="A15" s="5" t="s">
        <v>52</v>
      </c>
      <c r="B15" s="5">
        <v>33</v>
      </c>
      <c r="C15" s="5">
        <v>24</v>
      </c>
      <c r="D15" s="5">
        <v>22</v>
      </c>
      <c r="E15" s="5">
        <v>430</v>
      </c>
    </row>
    <row r="16" spans="1:5" x14ac:dyDescent="0.45">
      <c r="A16" s="5" t="s">
        <v>53</v>
      </c>
      <c r="B16" s="5">
        <v>24</v>
      </c>
      <c r="C16" s="5">
        <v>19</v>
      </c>
      <c r="D16" s="5">
        <v>15</v>
      </c>
      <c r="E16" s="5">
        <v>267</v>
      </c>
    </row>
    <row r="17" spans="1:5" x14ac:dyDescent="0.45">
      <c r="A17" s="5" t="s">
        <v>54</v>
      </c>
      <c r="B17" s="5">
        <v>26</v>
      </c>
      <c r="C17" s="5">
        <v>22</v>
      </c>
      <c r="D17" s="5">
        <v>13</v>
      </c>
      <c r="E17" s="5">
        <v>199</v>
      </c>
    </row>
    <row r="18" spans="1:5" x14ac:dyDescent="0.45">
      <c r="A18" s="1"/>
      <c r="B18" s="1"/>
      <c r="C18" s="1"/>
      <c r="D18" s="1"/>
      <c r="E18" s="1"/>
    </row>
    <row r="19" spans="1:5" x14ac:dyDescent="0.45">
      <c r="A19" s="1"/>
      <c r="B19" s="1"/>
      <c r="C19" s="1"/>
      <c r="D19" s="1"/>
      <c r="E19" s="1"/>
    </row>
    <row r="20" spans="1:5" x14ac:dyDescent="0.45">
      <c r="A20" s="1"/>
      <c r="B20" s="1"/>
      <c r="C20" s="1"/>
      <c r="D20" s="1"/>
      <c r="E20" s="1"/>
    </row>
    <row r="21" spans="1:5" x14ac:dyDescent="0.45">
      <c r="A21" s="1"/>
      <c r="B21" s="1"/>
      <c r="C21" s="1"/>
      <c r="D21" s="1"/>
      <c r="E21" s="1"/>
    </row>
    <row r="22" spans="1:5" x14ac:dyDescent="0.45">
      <c r="A22" s="1"/>
      <c r="B22" s="1"/>
      <c r="C22" s="1"/>
      <c r="D22" s="1"/>
      <c r="E22" s="1"/>
    </row>
    <row r="23" spans="1:5" x14ac:dyDescent="0.45">
      <c r="A23" s="1"/>
      <c r="B23" s="1"/>
      <c r="C23" s="1"/>
      <c r="D23" s="1"/>
      <c r="E23" s="1"/>
    </row>
    <row r="24" spans="1:5" x14ac:dyDescent="0.45">
      <c r="A24" s="1"/>
      <c r="B24" s="1"/>
      <c r="C24" s="1"/>
      <c r="D24" s="1"/>
      <c r="E24" s="1"/>
    </row>
    <row r="25" spans="1:5" x14ac:dyDescent="0.45">
      <c r="A25" s="1"/>
      <c r="B25" s="1"/>
      <c r="C25" s="1"/>
      <c r="D25" s="1"/>
      <c r="E25" s="1"/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485EC-3A87-4122-A508-B76CC3738947}">
  <dimension ref="A1:K40"/>
  <sheetViews>
    <sheetView workbookViewId="0"/>
  </sheetViews>
  <sheetFormatPr defaultRowHeight="17" x14ac:dyDescent="0.45"/>
  <cols>
    <col min="3" max="3" width="10.75" bestFit="1" customWidth="1"/>
    <col min="7" max="7" width="10.75" bestFit="1" customWidth="1"/>
  </cols>
  <sheetData>
    <row r="1" spans="1:11" x14ac:dyDescent="0.45">
      <c r="A1" s="7" t="s">
        <v>56</v>
      </c>
      <c r="B1" s="16" t="s">
        <v>133</v>
      </c>
      <c r="F1" s="8" t="s">
        <v>134</v>
      </c>
      <c r="G1" s="16" t="s">
        <v>135</v>
      </c>
    </row>
    <row r="2" spans="1:11" x14ac:dyDescent="0.45">
      <c r="A2" s="5" t="s">
        <v>136</v>
      </c>
      <c r="B2" s="5" t="s">
        <v>137</v>
      </c>
      <c r="C2" s="5" t="s">
        <v>138</v>
      </c>
      <c r="D2" s="17" t="s">
        <v>139</v>
      </c>
      <c r="F2" s="5" t="s">
        <v>140</v>
      </c>
      <c r="G2" s="5" t="s">
        <v>141</v>
      </c>
      <c r="H2" s="5" t="s">
        <v>142</v>
      </c>
      <c r="I2" s="17" t="s">
        <v>143</v>
      </c>
    </row>
    <row r="3" spans="1:11" x14ac:dyDescent="0.45">
      <c r="A3" s="5" t="s">
        <v>144</v>
      </c>
      <c r="B3" s="5" t="s">
        <v>145</v>
      </c>
      <c r="C3" s="5" t="s">
        <v>146</v>
      </c>
      <c r="D3" s="5"/>
      <c r="F3" s="5" t="s">
        <v>147</v>
      </c>
      <c r="G3" s="18">
        <v>45753</v>
      </c>
      <c r="H3" s="5">
        <v>4</v>
      </c>
      <c r="I3" s="5"/>
    </row>
    <row r="4" spans="1:11" x14ac:dyDescent="0.45">
      <c r="A4" s="5" t="s">
        <v>148</v>
      </c>
      <c r="B4" s="5" t="s">
        <v>149</v>
      </c>
      <c r="C4" s="5" t="s">
        <v>146</v>
      </c>
      <c r="D4" s="5"/>
      <c r="F4" s="5" t="s">
        <v>150</v>
      </c>
      <c r="G4" s="18">
        <v>45754</v>
      </c>
      <c r="H4" s="5">
        <v>6</v>
      </c>
      <c r="I4" s="5"/>
    </row>
    <row r="5" spans="1:11" x14ac:dyDescent="0.45">
      <c r="A5" s="5" t="s">
        <v>151</v>
      </c>
      <c r="B5" s="5" t="s">
        <v>152</v>
      </c>
      <c r="C5" s="5" t="s">
        <v>146</v>
      </c>
      <c r="D5" s="5"/>
      <c r="F5" s="5" t="s">
        <v>153</v>
      </c>
      <c r="G5" s="18">
        <v>45754</v>
      </c>
      <c r="H5" s="5">
        <v>4</v>
      </c>
      <c r="I5" s="5"/>
    </row>
    <row r="6" spans="1:11" x14ac:dyDescent="0.45">
      <c r="A6" s="5" t="s">
        <v>154</v>
      </c>
      <c r="B6" s="5" t="s">
        <v>155</v>
      </c>
      <c r="C6" s="5" t="s">
        <v>156</v>
      </c>
      <c r="D6" s="5"/>
      <c r="F6" s="5" t="s">
        <v>157</v>
      </c>
      <c r="G6" s="18">
        <v>45759</v>
      </c>
      <c r="H6" s="5">
        <v>7</v>
      </c>
      <c r="I6" s="5"/>
    </row>
    <row r="7" spans="1:11" x14ac:dyDescent="0.45">
      <c r="A7" s="5" t="s">
        <v>158</v>
      </c>
      <c r="B7" s="5" t="s">
        <v>159</v>
      </c>
      <c r="C7" s="5" t="s">
        <v>156</v>
      </c>
      <c r="D7" s="5"/>
      <c r="F7" s="5" t="s">
        <v>160</v>
      </c>
      <c r="G7" s="18">
        <v>45759</v>
      </c>
      <c r="H7" s="5">
        <v>5</v>
      </c>
      <c r="I7" s="5"/>
    </row>
    <row r="8" spans="1:11" x14ac:dyDescent="0.45">
      <c r="A8" s="5" t="s">
        <v>161</v>
      </c>
      <c r="B8" s="5" t="s">
        <v>162</v>
      </c>
      <c r="C8" s="5" t="s">
        <v>156</v>
      </c>
      <c r="D8" s="5"/>
      <c r="F8" s="5" t="s">
        <v>163</v>
      </c>
      <c r="G8" s="18">
        <v>45764</v>
      </c>
      <c r="H8" s="5">
        <v>5</v>
      </c>
      <c r="I8" s="5"/>
    </row>
    <row r="9" spans="1:11" x14ac:dyDescent="0.45">
      <c r="A9" s="5" t="s">
        <v>164</v>
      </c>
      <c r="B9" s="5" t="s">
        <v>165</v>
      </c>
      <c r="C9" s="5" t="s">
        <v>166</v>
      </c>
      <c r="D9" s="5"/>
      <c r="F9" s="5" t="s">
        <v>167</v>
      </c>
      <c r="G9" s="18">
        <v>45765</v>
      </c>
      <c r="H9" s="5">
        <v>4</v>
      </c>
      <c r="I9" s="5"/>
    </row>
    <row r="10" spans="1:11" x14ac:dyDescent="0.45">
      <c r="A10" s="5" t="s">
        <v>168</v>
      </c>
      <c r="B10" s="5" t="s">
        <v>169</v>
      </c>
      <c r="C10" s="5" t="s">
        <v>166</v>
      </c>
      <c r="D10" s="5"/>
      <c r="F10" s="5" t="s">
        <v>170</v>
      </c>
      <c r="G10" s="18">
        <v>45765</v>
      </c>
      <c r="H10" s="5">
        <v>7</v>
      </c>
      <c r="I10" s="5"/>
    </row>
    <row r="11" spans="1:11" x14ac:dyDescent="0.45">
      <c r="A11" s="5" t="s">
        <v>171</v>
      </c>
      <c r="B11" s="5" t="s">
        <v>172</v>
      </c>
      <c r="C11" s="5" t="s">
        <v>166</v>
      </c>
      <c r="D11" s="5"/>
      <c r="F11" s="5" t="s">
        <v>173</v>
      </c>
      <c r="G11" s="18">
        <v>45766</v>
      </c>
      <c r="H11" s="5">
        <v>3</v>
      </c>
      <c r="I11" s="5"/>
    </row>
    <row r="13" spans="1:11" x14ac:dyDescent="0.45">
      <c r="A13" s="19" t="s">
        <v>174</v>
      </c>
      <c r="B13" s="20" t="s">
        <v>175</v>
      </c>
      <c r="G13" s="7" t="s">
        <v>176</v>
      </c>
      <c r="H13" s="16" t="s">
        <v>177</v>
      </c>
    </row>
    <row r="14" spans="1:11" x14ac:dyDescent="0.45">
      <c r="A14" s="5" t="s">
        <v>178</v>
      </c>
      <c r="B14" s="5" t="s">
        <v>179</v>
      </c>
      <c r="C14" s="5" t="s">
        <v>180</v>
      </c>
      <c r="G14" s="5" t="s">
        <v>181</v>
      </c>
      <c r="H14" s="5" t="s">
        <v>182</v>
      </c>
      <c r="I14" s="5" t="s">
        <v>183</v>
      </c>
      <c r="J14" s="5" t="s">
        <v>184</v>
      </c>
      <c r="K14" s="17" t="s">
        <v>185</v>
      </c>
    </row>
    <row r="15" spans="1:11" x14ac:dyDescent="0.45">
      <c r="A15" s="5" t="s">
        <v>186</v>
      </c>
      <c r="B15" s="5" t="s">
        <v>187</v>
      </c>
      <c r="C15" s="21">
        <v>56986400</v>
      </c>
      <c r="G15" s="5" t="s">
        <v>188</v>
      </c>
      <c r="H15" s="5">
        <v>3.2</v>
      </c>
      <c r="I15" s="5">
        <v>3.5</v>
      </c>
      <c r="J15" s="5">
        <v>3.1</v>
      </c>
      <c r="K15" s="5"/>
    </row>
    <row r="16" spans="1:11" x14ac:dyDescent="0.45">
      <c r="A16" s="5" t="s">
        <v>189</v>
      </c>
      <c r="B16" s="5" t="s">
        <v>190</v>
      </c>
      <c r="C16" s="21">
        <v>35470100</v>
      </c>
      <c r="G16" s="5" t="s">
        <v>191</v>
      </c>
      <c r="H16" s="5">
        <v>1.5</v>
      </c>
      <c r="I16" s="5">
        <v>2.1</v>
      </c>
      <c r="J16" s="5">
        <v>1.8</v>
      </c>
      <c r="K16" s="5"/>
    </row>
    <row r="17" spans="1:11" x14ac:dyDescent="0.45">
      <c r="A17" s="5" t="s">
        <v>192</v>
      </c>
      <c r="B17" s="5" t="s">
        <v>187</v>
      </c>
      <c r="C17" s="21">
        <v>68341200</v>
      </c>
      <c r="G17" s="5" t="s">
        <v>193</v>
      </c>
      <c r="H17" s="5">
        <v>4.0999999999999996</v>
      </c>
      <c r="I17" s="5">
        <v>4.2</v>
      </c>
      <c r="J17" s="5">
        <v>4.0999999999999996</v>
      </c>
      <c r="K17" s="5"/>
    </row>
    <row r="18" spans="1:11" x14ac:dyDescent="0.45">
      <c r="A18" s="5" t="s">
        <v>194</v>
      </c>
      <c r="B18" s="5" t="s">
        <v>190</v>
      </c>
      <c r="C18" s="21">
        <v>50185000</v>
      </c>
      <c r="G18" s="5" t="s">
        <v>195</v>
      </c>
      <c r="H18" s="5">
        <v>2.5</v>
      </c>
      <c r="I18" s="5">
        <v>2.7</v>
      </c>
      <c r="J18" s="5">
        <v>2.8</v>
      </c>
      <c r="K18" s="5"/>
    </row>
    <row r="19" spans="1:11" x14ac:dyDescent="0.45">
      <c r="A19" s="5" t="s">
        <v>196</v>
      </c>
      <c r="B19" s="5" t="s">
        <v>190</v>
      </c>
      <c r="C19" s="21">
        <v>62734900</v>
      </c>
      <c r="G19" s="5" t="s">
        <v>197</v>
      </c>
      <c r="H19" s="5">
        <v>3.1</v>
      </c>
      <c r="I19" s="5">
        <v>2.9</v>
      </c>
      <c r="J19" s="5">
        <v>3.6</v>
      </c>
      <c r="K19" s="5"/>
    </row>
    <row r="20" spans="1:11" x14ac:dyDescent="0.45">
      <c r="A20" s="5" t="s">
        <v>198</v>
      </c>
      <c r="B20" s="5" t="s">
        <v>187</v>
      </c>
      <c r="C20" s="21">
        <v>39900000</v>
      </c>
      <c r="G20" s="5" t="s">
        <v>199</v>
      </c>
      <c r="H20" s="5">
        <v>2.8</v>
      </c>
      <c r="I20" s="5">
        <v>2.5</v>
      </c>
      <c r="J20" s="5">
        <v>2.7</v>
      </c>
      <c r="K20" s="5"/>
    </row>
    <row r="21" spans="1:11" x14ac:dyDescent="0.45">
      <c r="A21" s="5" t="s">
        <v>200</v>
      </c>
      <c r="B21" s="5" t="s">
        <v>187</v>
      </c>
      <c r="C21" s="21">
        <v>46984200</v>
      </c>
      <c r="G21" s="5" t="s">
        <v>201</v>
      </c>
      <c r="H21" s="5">
        <v>0.9</v>
      </c>
      <c r="I21" s="5">
        <v>1.4</v>
      </c>
      <c r="J21" s="5">
        <v>0.8</v>
      </c>
      <c r="K21" s="5"/>
    </row>
    <row r="22" spans="1:11" x14ac:dyDescent="0.45">
      <c r="A22" s="5" t="s">
        <v>202</v>
      </c>
      <c r="B22" s="5" t="s">
        <v>190</v>
      </c>
      <c r="C22" s="21">
        <v>55121000</v>
      </c>
      <c r="D22" s="22" t="s">
        <v>203</v>
      </c>
      <c r="E22" s="23"/>
      <c r="G22" s="5" t="s">
        <v>204</v>
      </c>
      <c r="H22" s="5">
        <v>3.1</v>
      </c>
      <c r="I22" s="5">
        <v>2.7</v>
      </c>
      <c r="J22" s="5">
        <v>2.4</v>
      </c>
      <c r="K22" s="5"/>
    </row>
    <row r="23" spans="1:11" x14ac:dyDescent="0.45">
      <c r="A23" s="5" t="s">
        <v>205</v>
      </c>
      <c r="B23" s="5" t="s">
        <v>187</v>
      </c>
      <c r="C23" s="21">
        <v>43764900</v>
      </c>
      <c r="D23" s="5"/>
      <c r="E23" s="5"/>
      <c r="G23" s="5" t="s">
        <v>206</v>
      </c>
      <c r="H23" s="5">
        <v>3.6</v>
      </c>
      <c r="I23" s="5">
        <v>3.9</v>
      </c>
      <c r="J23" s="5">
        <v>3.4</v>
      </c>
      <c r="K23" s="5"/>
    </row>
    <row r="24" spans="1:11" x14ac:dyDescent="0.45">
      <c r="A24" s="24" t="s">
        <v>207</v>
      </c>
      <c r="B24" s="25"/>
      <c r="C24" s="21"/>
      <c r="D24" s="5"/>
      <c r="E24" s="5"/>
      <c r="G24" s="5" t="s">
        <v>208</v>
      </c>
      <c r="H24" s="5">
        <v>3.1</v>
      </c>
      <c r="I24" s="5">
        <v>3.2</v>
      </c>
      <c r="J24" s="5">
        <v>3.5</v>
      </c>
      <c r="K24" s="5"/>
    </row>
    <row r="26" spans="1:11" x14ac:dyDescent="0.45">
      <c r="A26" s="7" t="s">
        <v>209</v>
      </c>
      <c r="B26" s="16" t="s">
        <v>210</v>
      </c>
    </row>
    <row r="27" spans="1:11" x14ac:dyDescent="0.45">
      <c r="A27" s="5" t="s">
        <v>181</v>
      </c>
      <c r="B27" s="5" t="s">
        <v>211</v>
      </c>
      <c r="C27" s="5" t="s">
        <v>180</v>
      </c>
      <c r="D27" s="5" t="s">
        <v>212</v>
      </c>
      <c r="E27" s="5" t="s">
        <v>213</v>
      </c>
      <c r="F27" s="17" t="s">
        <v>214</v>
      </c>
    </row>
    <row r="28" spans="1:11" x14ac:dyDescent="0.45">
      <c r="A28" s="5" t="s">
        <v>215</v>
      </c>
      <c r="B28" s="5">
        <v>82</v>
      </c>
      <c r="C28" s="5">
        <v>94</v>
      </c>
      <c r="D28" s="5">
        <v>86</v>
      </c>
      <c r="E28" s="5">
        <f>SUM(B28:D28)</f>
        <v>262</v>
      </c>
      <c r="F28" s="5"/>
    </row>
    <row r="29" spans="1:11" x14ac:dyDescent="0.45">
      <c r="A29" s="5" t="s">
        <v>216</v>
      </c>
      <c r="B29" s="5">
        <v>69</v>
      </c>
      <c r="C29" s="5">
        <v>88</v>
      </c>
      <c r="D29" s="5">
        <v>62</v>
      </c>
      <c r="E29" s="5">
        <f t="shared" ref="E29:E36" si="0">SUM(B29:D29)</f>
        <v>219</v>
      </c>
      <c r="F29" s="5"/>
    </row>
    <row r="30" spans="1:11" x14ac:dyDescent="0.45">
      <c r="A30" s="5" t="s">
        <v>217</v>
      </c>
      <c r="B30" s="5">
        <v>91</v>
      </c>
      <c r="C30" s="5">
        <v>95</v>
      </c>
      <c r="D30" s="5">
        <v>97</v>
      </c>
      <c r="E30" s="5">
        <f t="shared" si="0"/>
        <v>283</v>
      </c>
      <c r="F30" s="5"/>
    </row>
    <row r="31" spans="1:11" x14ac:dyDescent="0.45">
      <c r="A31" s="5" t="s">
        <v>218</v>
      </c>
      <c r="B31" s="5">
        <v>80</v>
      </c>
      <c r="C31" s="5">
        <v>70</v>
      </c>
      <c r="D31" s="5">
        <v>79</v>
      </c>
      <c r="E31" s="5">
        <f t="shared" si="0"/>
        <v>229</v>
      </c>
      <c r="F31" s="5"/>
    </row>
    <row r="32" spans="1:11" x14ac:dyDescent="0.45">
      <c r="A32" s="5" t="s">
        <v>219</v>
      </c>
      <c r="B32" s="5">
        <v>77</v>
      </c>
      <c r="C32" s="5">
        <v>71</v>
      </c>
      <c r="D32" s="5">
        <v>69</v>
      </c>
      <c r="E32" s="5">
        <f t="shared" si="0"/>
        <v>217</v>
      </c>
      <c r="F32" s="5"/>
    </row>
    <row r="33" spans="1:6" x14ac:dyDescent="0.45">
      <c r="A33" s="5" t="s">
        <v>220</v>
      </c>
      <c r="B33" s="5">
        <v>96</v>
      </c>
      <c r="C33" s="5">
        <v>93</v>
      </c>
      <c r="D33" s="5">
        <v>95</v>
      </c>
      <c r="E33" s="5">
        <f t="shared" si="0"/>
        <v>284</v>
      </c>
      <c r="F33" s="5"/>
    </row>
    <row r="34" spans="1:6" x14ac:dyDescent="0.45">
      <c r="A34" s="5" t="s">
        <v>221</v>
      </c>
      <c r="B34" s="5">
        <v>84</v>
      </c>
      <c r="C34" s="5">
        <v>88</v>
      </c>
      <c r="D34" s="5">
        <v>91</v>
      </c>
      <c r="E34" s="5">
        <f t="shared" si="0"/>
        <v>263</v>
      </c>
      <c r="F34" s="5"/>
    </row>
    <row r="35" spans="1:6" x14ac:dyDescent="0.45">
      <c r="A35" s="5" t="s">
        <v>222</v>
      </c>
      <c r="B35" s="5">
        <v>94</v>
      </c>
      <c r="C35" s="5">
        <v>90</v>
      </c>
      <c r="D35" s="5">
        <v>90</v>
      </c>
      <c r="E35" s="5">
        <f t="shared" si="0"/>
        <v>274</v>
      </c>
      <c r="F35" s="5"/>
    </row>
    <row r="36" spans="1:6" x14ac:dyDescent="0.45">
      <c r="A36" s="5" t="s">
        <v>223</v>
      </c>
      <c r="B36" s="5">
        <v>86</v>
      </c>
      <c r="C36" s="5">
        <v>84</v>
      </c>
      <c r="D36" s="5">
        <v>87</v>
      </c>
      <c r="E36" s="5">
        <f t="shared" si="0"/>
        <v>257</v>
      </c>
      <c r="F36" s="5"/>
    </row>
    <row r="38" spans="1:6" x14ac:dyDescent="0.45">
      <c r="A38" t="s">
        <v>224</v>
      </c>
    </row>
    <row r="39" spans="1:6" x14ac:dyDescent="0.45">
      <c r="A39" s="5" t="s">
        <v>225</v>
      </c>
      <c r="B39" s="5">
        <v>1</v>
      </c>
      <c r="C39" s="5">
        <v>4</v>
      </c>
      <c r="D39" s="5">
        <v>6</v>
      </c>
      <c r="E39" s="5">
        <v>8</v>
      </c>
    </row>
    <row r="40" spans="1:6" x14ac:dyDescent="0.45">
      <c r="A40" s="5" t="s">
        <v>214</v>
      </c>
      <c r="B40" s="5" t="s">
        <v>226</v>
      </c>
      <c r="C40" s="5" t="s">
        <v>227</v>
      </c>
      <c r="D40" s="5" t="s">
        <v>228</v>
      </c>
      <c r="E40" s="5" t="s">
        <v>229</v>
      </c>
    </row>
  </sheetData>
  <mergeCells count="2">
    <mergeCell ref="D22:E22"/>
    <mergeCell ref="A24:B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886C-DEB5-496B-9510-2E7E62E435EB}">
  <dimension ref="A1:K13"/>
  <sheetViews>
    <sheetView workbookViewId="0"/>
  </sheetViews>
  <sheetFormatPr defaultRowHeight="17" x14ac:dyDescent="0.45"/>
  <sheetData>
    <row r="1" spans="1:11" x14ac:dyDescent="0.45">
      <c r="A1" s="7" t="s">
        <v>56</v>
      </c>
      <c r="B1" s="15" t="s">
        <v>57</v>
      </c>
      <c r="C1" s="15"/>
      <c r="D1" s="15"/>
      <c r="E1" s="15"/>
      <c r="G1" s="8" t="s">
        <v>58</v>
      </c>
      <c r="H1" s="15" t="s">
        <v>59</v>
      </c>
      <c r="I1" s="15"/>
      <c r="J1" s="15"/>
      <c r="K1" s="15"/>
    </row>
    <row r="2" spans="1:11" x14ac:dyDescent="0.45">
      <c r="A2" s="9" t="s">
        <v>60</v>
      </c>
      <c r="B2" s="9" t="s">
        <v>61</v>
      </c>
      <c r="C2" s="9" t="s">
        <v>62</v>
      </c>
      <c r="D2" s="9" t="s">
        <v>63</v>
      </c>
      <c r="E2" s="9" t="s">
        <v>64</v>
      </c>
      <c r="G2" s="9" t="s">
        <v>60</v>
      </c>
      <c r="H2" s="9" t="s">
        <v>61</v>
      </c>
      <c r="I2" s="9" t="s">
        <v>62</v>
      </c>
      <c r="J2" s="9" t="s">
        <v>63</v>
      </c>
      <c r="K2" s="9" t="s">
        <v>64</v>
      </c>
    </row>
    <row r="3" spans="1:11" x14ac:dyDescent="0.45">
      <c r="A3" s="9" t="s">
        <v>65</v>
      </c>
      <c r="B3" s="9">
        <v>1053</v>
      </c>
      <c r="C3" s="9">
        <v>967</v>
      </c>
      <c r="D3" s="9">
        <v>1201</v>
      </c>
      <c r="E3" s="9">
        <v>1138</v>
      </c>
      <c r="G3" s="9" t="s">
        <v>65</v>
      </c>
      <c r="H3" s="9">
        <v>984</v>
      </c>
      <c r="I3" s="9">
        <v>862</v>
      </c>
      <c r="J3" s="9">
        <v>1082</v>
      </c>
      <c r="K3" s="9">
        <v>1125</v>
      </c>
    </row>
    <row r="4" spans="1:11" x14ac:dyDescent="0.45">
      <c r="A4" s="9" t="s">
        <v>66</v>
      </c>
      <c r="B4" s="9">
        <v>842</v>
      </c>
      <c r="C4" s="9">
        <v>935</v>
      </c>
      <c r="D4" s="9">
        <v>1153</v>
      </c>
      <c r="E4" s="9">
        <v>1219</v>
      </c>
      <c r="G4" s="9" t="s">
        <v>66</v>
      </c>
      <c r="H4" s="9">
        <v>673</v>
      </c>
      <c r="I4" s="9">
        <v>721</v>
      </c>
      <c r="J4" s="9">
        <v>621</v>
      </c>
      <c r="K4" s="9">
        <v>593</v>
      </c>
    </row>
    <row r="5" spans="1:11" x14ac:dyDescent="0.45">
      <c r="A5" s="9" t="s">
        <v>67</v>
      </c>
      <c r="B5" s="9">
        <v>1168</v>
      </c>
      <c r="C5" s="9">
        <v>1023</v>
      </c>
      <c r="D5" s="9">
        <v>934</v>
      </c>
      <c r="E5" s="9">
        <v>1086</v>
      </c>
      <c r="G5" s="9" t="s">
        <v>67</v>
      </c>
      <c r="H5" s="9">
        <v>596</v>
      </c>
      <c r="I5" s="9">
        <v>676</v>
      </c>
      <c r="J5" s="9">
        <v>738</v>
      </c>
      <c r="K5" s="9">
        <v>862</v>
      </c>
    </row>
    <row r="6" spans="1:11" x14ac:dyDescent="0.45">
      <c r="A6" s="9" t="s">
        <v>68</v>
      </c>
      <c r="B6" s="9">
        <v>1325</v>
      </c>
      <c r="C6" s="9">
        <v>1423</v>
      </c>
      <c r="D6" s="9">
        <v>1254</v>
      </c>
      <c r="E6" s="9">
        <v>1195</v>
      </c>
      <c r="G6" s="9" t="s">
        <v>68</v>
      </c>
      <c r="H6" s="9">
        <v>1045</v>
      </c>
      <c r="I6" s="9">
        <v>1254</v>
      </c>
      <c r="J6" s="9">
        <v>905</v>
      </c>
      <c r="K6" s="9">
        <v>1079</v>
      </c>
    </row>
    <row r="8" spans="1:11" x14ac:dyDescent="0.45">
      <c r="A8" s="8" t="s">
        <v>69</v>
      </c>
      <c r="B8" s="15" t="s">
        <v>70</v>
      </c>
      <c r="C8" s="15"/>
      <c r="D8" s="15"/>
      <c r="E8" s="15"/>
      <c r="G8" s="8" t="s">
        <v>71</v>
      </c>
      <c r="H8" s="15" t="s">
        <v>72</v>
      </c>
      <c r="I8" s="15"/>
      <c r="J8" s="15"/>
      <c r="K8" s="15"/>
    </row>
    <row r="9" spans="1:11" x14ac:dyDescent="0.45">
      <c r="A9" s="9" t="s">
        <v>60</v>
      </c>
      <c r="B9" s="9" t="s">
        <v>61</v>
      </c>
      <c r="C9" s="9" t="s">
        <v>62</v>
      </c>
      <c r="D9" s="9" t="s">
        <v>63</v>
      </c>
      <c r="E9" s="9" t="s">
        <v>64</v>
      </c>
      <c r="G9" s="9" t="s">
        <v>60</v>
      </c>
      <c r="H9" s="9" t="s">
        <v>61</v>
      </c>
      <c r="I9" s="9" t="s">
        <v>62</v>
      </c>
      <c r="J9" s="9" t="s">
        <v>63</v>
      </c>
      <c r="K9" s="9" t="s">
        <v>64</v>
      </c>
    </row>
    <row r="10" spans="1:11" x14ac:dyDescent="0.45">
      <c r="A10" s="9" t="s">
        <v>65</v>
      </c>
      <c r="B10" s="9">
        <v>1250</v>
      </c>
      <c r="C10" s="9">
        <v>1156</v>
      </c>
      <c r="D10" s="9">
        <v>1374</v>
      </c>
      <c r="E10" s="9">
        <v>1282</v>
      </c>
      <c r="G10" s="9" t="s">
        <v>65</v>
      </c>
      <c r="H10" s="9"/>
      <c r="I10" s="9"/>
      <c r="J10" s="9"/>
      <c r="K10" s="9"/>
    </row>
    <row r="11" spans="1:11" x14ac:dyDescent="0.45">
      <c r="A11" s="9" t="s">
        <v>66</v>
      </c>
      <c r="B11" s="9">
        <v>957</v>
      </c>
      <c r="C11" s="9">
        <v>1207</v>
      </c>
      <c r="D11" s="9">
        <v>997</v>
      </c>
      <c r="E11" s="9">
        <v>1023</v>
      </c>
      <c r="G11" s="9" t="s">
        <v>66</v>
      </c>
      <c r="H11" s="9"/>
      <c r="I11" s="9"/>
      <c r="J11" s="9"/>
      <c r="K11" s="9"/>
    </row>
    <row r="12" spans="1:11" x14ac:dyDescent="0.45">
      <c r="A12" s="9" t="s">
        <v>67</v>
      </c>
      <c r="B12" s="9">
        <v>1059</v>
      </c>
      <c r="C12" s="9">
        <v>1254</v>
      </c>
      <c r="D12" s="9">
        <v>1354</v>
      </c>
      <c r="E12" s="9">
        <v>1272</v>
      </c>
      <c r="G12" s="9" t="s">
        <v>67</v>
      </c>
      <c r="H12" s="9"/>
      <c r="I12" s="9"/>
      <c r="J12" s="9"/>
      <c r="K12" s="9"/>
    </row>
    <row r="13" spans="1:11" x14ac:dyDescent="0.45">
      <c r="A13" s="9" t="s">
        <v>68</v>
      </c>
      <c r="B13" s="9">
        <v>1425</v>
      </c>
      <c r="C13" s="9">
        <v>1638</v>
      </c>
      <c r="D13" s="9">
        <v>1578</v>
      </c>
      <c r="E13" s="9">
        <v>1639</v>
      </c>
      <c r="G13" s="9" t="s">
        <v>68</v>
      </c>
      <c r="H13" s="9"/>
      <c r="I13" s="9"/>
      <c r="J13" s="9"/>
      <c r="K13" s="9"/>
    </row>
  </sheetData>
  <dataConsolidate topLabels="1">
    <dataRefs count="3">
      <dataRef ref="A2:E6" sheet="분석작업-1" r:id="rId1"/>
      <dataRef ref="G2:K6" sheet="분석작업-1" r:id="rId2"/>
      <dataRef ref="A9:E13" sheet="분석작업-1" r:id="rId3"/>
    </dataRefs>
  </dataConsolidate>
  <mergeCells count="4">
    <mergeCell ref="B1:E1"/>
    <mergeCell ref="H1:K1"/>
    <mergeCell ref="B8:E8"/>
    <mergeCell ref="H8:K8"/>
  </mergeCells>
  <phoneticPr fontId="1" type="noConversion"/>
  <pageMargins left="0.7" right="0.7" top="0.75" bottom="0.75" header="0.3" footer="0.3"/>
  <pageSetup paperSize="9" orientation="portrait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309EB-35E6-43E0-9FDC-E86ACE06B262}">
  <dimension ref="A1:F17"/>
  <sheetViews>
    <sheetView workbookViewId="0">
      <selection sqref="A1:F1"/>
    </sheetView>
  </sheetViews>
  <sheetFormatPr defaultRowHeight="17" x14ac:dyDescent="0.45"/>
  <sheetData>
    <row r="1" spans="1:6" ht="21" x14ac:dyDescent="0.45">
      <c r="A1" s="14" t="s">
        <v>73</v>
      </c>
      <c r="B1" s="14"/>
      <c r="C1" s="14"/>
      <c r="D1" s="14"/>
      <c r="E1" s="14"/>
      <c r="F1" s="14"/>
    </row>
    <row r="3" spans="1:6" x14ac:dyDescent="0.45">
      <c r="A3" s="5" t="s">
        <v>74</v>
      </c>
      <c r="B3" s="5" t="s">
        <v>75</v>
      </c>
      <c r="C3" s="5" t="s">
        <v>76</v>
      </c>
      <c r="D3" s="5" t="s">
        <v>77</v>
      </c>
      <c r="E3" s="5" t="s">
        <v>78</v>
      </c>
      <c r="F3" s="5" t="s">
        <v>79</v>
      </c>
    </row>
    <row r="4" spans="1:6" x14ac:dyDescent="0.45">
      <c r="A4" s="5" t="s">
        <v>80</v>
      </c>
      <c r="B4" s="5" t="s">
        <v>81</v>
      </c>
      <c r="C4" s="5" t="s">
        <v>82</v>
      </c>
      <c r="D4" s="5">
        <v>35</v>
      </c>
      <c r="E4" s="10">
        <v>2016</v>
      </c>
      <c r="F4" s="5" t="s">
        <v>83</v>
      </c>
    </row>
    <row r="5" spans="1:6" x14ac:dyDescent="0.45">
      <c r="A5" s="5" t="s">
        <v>84</v>
      </c>
      <c r="B5" s="5" t="s">
        <v>85</v>
      </c>
      <c r="C5" s="5" t="s">
        <v>86</v>
      </c>
      <c r="D5" s="11">
        <v>46</v>
      </c>
      <c r="E5" s="5">
        <v>2023</v>
      </c>
      <c r="F5" s="5" t="s">
        <v>87</v>
      </c>
    </row>
    <row r="6" spans="1:6" x14ac:dyDescent="0.45">
      <c r="A6" s="5" t="s">
        <v>88</v>
      </c>
      <c r="B6" s="5" t="s">
        <v>89</v>
      </c>
      <c r="C6" s="5" t="s">
        <v>86</v>
      </c>
      <c r="D6" s="5">
        <v>22</v>
      </c>
      <c r="E6" s="5">
        <v>2024</v>
      </c>
      <c r="F6" s="5" t="s">
        <v>87</v>
      </c>
    </row>
    <row r="7" spans="1:6" x14ac:dyDescent="0.45">
      <c r="A7" s="5" t="s">
        <v>90</v>
      </c>
      <c r="B7" s="5" t="s">
        <v>91</v>
      </c>
      <c r="C7" s="5" t="s">
        <v>82</v>
      </c>
      <c r="D7" s="5">
        <v>25</v>
      </c>
      <c r="E7" s="10">
        <v>2015</v>
      </c>
      <c r="F7" s="5" t="s">
        <v>83</v>
      </c>
    </row>
    <row r="8" spans="1:6" x14ac:dyDescent="0.45">
      <c r="A8" s="5" t="s">
        <v>80</v>
      </c>
      <c r="B8" s="5" t="s">
        <v>92</v>
      </c>
      <c r="C8" s="5" t="s">
        <v>86</v>
      </c>
      <c r="D8" s="11">
        <v>41</v>
      </c>
      <c r="E8" s="10">
        <v>2016</v>
      </c>
      <c r="F8" s="5" t="s">
        <v>83</v>
      </c>
    </row>
    <row r="9" spans="1:6" x14ac:dyDescent="0.45">
      <c r="A9" s="5" t="s">
        <v>88</v>
      </c>
      <c r="B9" s="5" t="s">
        <v>93</v>
      </c>
      <c r="C9" s="5" t="s">
        <v>82</v>
      </c>
      <c r="D9" s="11">
        <v>54</v>
      </c>
      <c r="E9" s="10">
        <v>2017</v>
      </c>
      <c r="F9" s="5" t="s">
        <v>83</v>
      </c>
    </row>
    <row r="10" spans="1:6" x14ac:dyDescent="0.45">
      <c r="A10" s="5" t="s">
        <v>84</v>
      </c>
      <c r="B10" s="5" t="s">
        <v>94</v>
      </c>
      <c r="C10" s="5" t="s">
        <v>86</v>
      </c>
      <c r="D10" s="5">
        <v>33</v>
      </c>
      <c r="E10" s="5">
        <v>2022</v>
      </c>
      <c r="F10" s="5" t="s">
        <v>87</v>
      </c>
    </row>
    <row r="11" spans="1:6" x14ac:dyDescent="0.45">
      <c r="A11" s="5" t="s">
        <v>84</v>
      </c>
      <c r="B11" s="5" t="s">
        <v>95</v>
      </c>
      <c r="C11" s="5" t="s">
        <v>86</v>
      </c>
      <c r="D11" s="5">
        <v>38</v>
      </c>
      <c r="E11" s="10">
        <v>2015</v>
      </c>
      <c r="F11" s="5" t="s">
        <v>83</v>
      </c>
    </row>
    <row r="12" spans="1:6" x14ac:dyDescent="0.45">
      <c r="A12" s="5" t="s">
        <v>80</v>
      </c>
      <c r="B12" s="5" t="s">
        <v>96</v>
      </c>
      <c r="C12" s="5" t="s">
        <v>86</v>
      </c>
      <c r="D12" s="11">
        <v>52</v>
      </c>
      <c r="E12" s="5">
        <v>2023</v>
      </c>
      <c r="F12" s="5" t="s">
        <v>87</v>
      </c>
    </row>
    <row r="13" spans="1:6" x14ac:dyDescent="0.45">
      <c r="A13" s="5" t="s">
        <v>90</v>
      </c>
      <c r="B13" s="5" t="s">
        <v>97</v>
      </c>
      <c r="C13" s="5" t="s">
        <v>82</v>
      </c>
      <c r="D13" s="11">
        <v>49</v>
      </c>
      <c r="E13" s="5">
        <v>2018</v>
      </c>
      <c r="F13" s="5" t="s">
        <v>83</v>
      </c>
    </row>
    <row r="14" spans="1:6" x14ac:dyDescent="0.45">
      <c r="A14" s="5" t="s">
        <v>84</v>
      </c>
      <c r="B14" s="5" t="s">
        <v>98</v>
      </c>
      <c r="C14" s="5" t="s">
        <v>86</v>
      </c>
      <c r="D14" s="5">
        <v>35</v>
      </c>
      <c r="E14" s="10">
        <v>2014</v>
      </c>
      <c r="F14" s="5" t="s">
        <v>83</v>
      </c>
    </row>
    <row r="15" spans="1:6" x14ac:dyDescent="0.45">
      <c r="A15" s="5" t="s">
        <v>80</v>
      </c>
      <c r="B15" s="5" t="s">
        <v>99</v>
      </c>
      <c r="C15" s="5" t="s">
        <v>86</v>
      </c>
      <c r="D15" s="5">
        <v>27</v>
      </c>
      <c r="E15" s="5">
        <v>2023</v>
      </c>
      <c r="F15" s="5" t="s">
        <v>87</v>
      </c>
    </row>
    <row r="16" spans="1:6" x14ac:dyDescent="0.45">
      <c r="A16" s="5" t="s">
        <v>80</v>
      </c>
      <c r="B16" s="5" t="s">
        <v>100</v>
      </c>
      <c r="C16" s="5" t="s">
        <v>82</v>
      </c>
      <c r="D16" s="11">
        <v>51</v>
      </c>
      <c r="E16" s="5">
        <v>2019</v>
      </c>
      <c r="F16" s="5" t="s">
        <v>83</v>
      </c>
    </row>
    <row r="17" spans="1:6" x14ac:dyDescent="0.45">
      <c r="A17" s="5" t="s">
        <v>88</v>
      </c>
      <c r="B17" s="5" t="s">
        <v>101</v>
      </c>
      <c r="C17" s="5" t="s">
        <v>82</v>
      </c>
      <c r="D17" s="5">
        <v>36</v>
      </c>
      <c r="E17" s="5">
        <v>2022</v>
      </c>
      <c r="F17" s="5" t="s">
        <v>87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4E9A7-C560-4B1E-B764-EA1AA232830E}">
  <dimension ref="A1:E11"/>
  <sheetViews>
    <sheetView workbookViewId="0">
      <selection sqref="A1:E1"/>
    </sheetView>
  </sheetViews>
  <sheetFormatPr defaultRowHeight="17" x14ac:dyDescent="0.45"/>
  <cols>
    <col min="5" max="5" width="12.58203125" customWidth="1"/>
    <col min="7" max="7" width="11.58203125" customWidth="1"/>
  </cols>
  <sheetData>
    <row r="1" spans="1:5" ht="21" x14ac:dyDescent="0.45">
      <c r="A1" s="14" t="s">
        <v>102</v>
      </c>
      <c r="B1" s="14"/>
      <c r="C1" s="14"/>
      <c r="D1" s="14"/>
      <c r="E1" s="14"/>
    </row>
    <row r="3" spans="1:5" x14ac:dyDescent="0.45">
      <c r="A3" s="5" t="s">
        <v>103</v>
      </c>
      <c r="B3" s="5" t="s">
        <v>104</v>
      </c>
      <c r="C3" s="5" t="s">
        <v>105</v>
      </c>
      <c r="D3" s="5" t="s">
        <v>106</v>
      </c>
      <c r="E3" s="5" t="s">
        <v>107</v>
      </c>
    </row>
    <row r="4" spans="1:5" x14ac:dyDescent="0.45">
      <c r="A4" s="5" t="s">
        <v>108</v>
      </c>
      <c r="B4" s="5" t="s">
        <v>109</v>
      </c>
      <c r="C4" s="12">
        <v>46800</v>
      </c>
      <c r="D4" s="5">
        <v>563</v>
      </c>
      <c r="E4" s="12"/>
    </row>
    <row r="5" spans="1:5" x14ac:dyDescent="0.45">
      <c r="A5" s="5" t="s">
        <v>110</v>
      </c>
      <c r="B5" s="5" t="s">
        <v>111</v>
      </c>
      <c r="C5" s="12">
        <v>31500</v>
      </c>
      <c r="D5" s="5">
        <v>425</v>
      </c>
      <c r="E5" s="12"/>
    </row>
    <row r="6" spans="1:5" x14ac:dyDescent="0.45">
      <c r="A6" s="5" t="s">
        <v>112</v>
      </c>
      <c r="B6" s="5" t="s">
        <v>111</v>
      </c>
      <c r="C6" s="12">
        <v>43800</v>
      </c>
      <c r="D6" s="5">
        <v>152</v>
      </c>
      <c r="E6" s="12"/>
    </row>
    <row r="7" spans="1:5" x14ac:dyDescent="0.45">
      <c r="A7" s="5" t="s">
        <v>113</v>
      </c>
      <c r="B7" s="5" t="s">
        <v>114</v>
      </c>
      <c r="C7" s="12">
        <v>31700</v>
      </c>
      <c r="D7" s="5">
        <v>95</v>
      </c>
      <c r="E7" s="12"/>
    </row>
    <row r="8" spans="1:5" x14ac:dyDescent="0.45">
      <c r="A8" s="5" t="s">
        <v>115</v>
      </c>
      <c r="B8" s="5" t="s">
        <v>109</v>
      </c>
      <c r="C8" s="12">
        <v>39900</v>
      </c>
      <c r="D8" s="5">
        <v>357</v>
      </c>
      <c r="E8" s="12"/>
    </row>
    <row r="9" spans="1:5" x14ac:dyDescent="0.45">
      <c r="A9" s="5" t="s">
        <v>116</v>
      </c>
      <c r="B9" s="5" t="s">
        <v>117</v>
      </c>
      <c r="C9" s="12">
        <v>27400</v>
      </c>
      <c r="D9" s="5">
        <v>392</v>
      </c>
      <c r="E9" s="12"/>
    </row>
    <row r="10" spans="1:5" x14ac:dyDescent="0.45">
      <c r="A10" s="5" t="s">
        <v>118</v>
      </c>
      <c r="B10" s="5" t="s">
        <v>111</v>
      </c>
      <c r="C10" s="12">
        <v>30600</v>
      </c>
      <c r="D10" s="5">
        <v>246</v>
      </c>
      <c r="E10" s="12"/>
    </row>
    <row r="11" spans="1:5" x14ac:dyDescent="0.45">
      <c r="A11" s="5" t="s">
        <v>119</v>
      </c>
      <c r="B11" s="5" t="s">
        <v>114</v>
      </c>
      <c r="C11" s="12">
        <v>26400</v>
      </c>
      <c r="D11" s="5">
        <v>135</v>
      </c>
      <c r="E11" s="12"/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4CF98-7B9E-46BC-93B7-34415FB475F0}">
  <dimension ref="A1:E10"/>
  <sheetViews>
    <sheetView workbookViewId="0">
      <selection sqref="A1:E1"/>
    </sheetView>
  </sheetViews>
  <sheetFormatPr defaultRowHeight="17" x14ac:dyDescent="0.45"/>
  <cols>
    <col min="1" max="1" width="10.4140625" bestFit="1" customWidth="1"/>
  </cols>
  <sheetData>
    <row r="1" spans="1:5" ht="21" x14ac:dyDescent="0.45">
      <c r="A1" s="14" t="s">
        <v>120</v>
      </c>
      <c r="B1" s="14"/>
      <c r="C1" s="14"/>
      <c r="D1" s="14"/>
      <c r="E1" s="14"/>
    </row>
    <row r="3" spans="1:5" x14ac:dyDescent="0.45">
      <c r="A3" s="5" t="s">
        <v>121</v>
      </c>
      <c r="B3" s="5" t="s">
        <v>122</v>
      </c>
      <c r="C3" s="5" t="s">
        <v>123</v>
      </c>
      <c r="D3" s="5" t="s">
        <v>124</v>
      </c>
      <c r="E3" s="5" t="s">
        <v>125</v>
      </c>
    </row>
    <row r="4" spans="1:5" x14ac:dyDescent="0.45">
      <c r="A4" s="5" t="s">
        <v>126</v>
      </c>
      <c r="B4" s="13">
        <v>6800</v>
      </c>
      <c r="C4" s="13">
        <v>120</v>
      </c>
      <c r="D4" s="13">
        <v>112</v>
      </c>
      <c r="E4" s="13">
        <v>8</v>
      </c>
    </row>
    <row r="5" spans="1:5" x14ac:dyDescent="0.45">
      <c r="A5" s="5" t="s">
        <v>127</v>
      </c>
      <c r="B5" s="13">
        <v>5750</v>
      </c>
      <c r="C5" s="13">
        <v>150</v>
      </c>
      <c r="D5" s="13">
        <v>128</v>
      </c>
      <c r="E5" s="13">
        <v>22</v>
      </c>
    </row>
    <row r="6" spans="1:5" x14ac:dyDescent="0.45">
      <c r="A6" s="5" t="s">
        <v>128</v>
      </c>
      <c r="B6" s="13">
        <v>7900</v>
      </c>
      <c r="C6" s="13">
        <v>100</v>
      </c>
      <c r="D6" s="13">
        <v>79</v>
      </c>
      <c r="E6" s="13">
        <v>21</v>
      </c>
    </row>
    <row r="7" spans="1:5" x14ac:dyDescent="0.45">
      <c r="A7" s="5" t="s">
        <v>129</v>
      </c>
      <c r="B7" s="13">
        <v>8200</v>
      </c>
      <c r="C7" s="13">
        <v>80</v>
      </c>
      <c r="D7" s="13">
        <v>61</v>
      </c>
      <c r="E7" s="13">
        <v>19</v>
      </c>
    </row>
    <row r="8" spans="1:5" x14ac:dyDescent="0.45">
      <c r="A8" s="5" t="s">
        <v>130</v>
      </c>
      <c r="B8" s="13">
        <v>4900</v>
      </c>
      <c r="C8" s="13">
        <v>220</v>
      </c>
      <c r="D8" s="13">
        <v>208</v>
      </c>
      <c r="E8" s="13">
        <v>12</v>
      </c>
    </row>
    <row r="9" spans="1:5" x14ac:dyDescent="0.45">
      <c r="A9" s="5" t="s">
        <v>131</v>
      </c>
      <c r="B9" s="13">
        <v>3550</v>
      </c>
      <c r="C9" s="13">
        <v>200</v>
      </c>
      <c r="D9" s="13">
        <v>184</v>
      </c>
      <c r="E9" s="13">
        <v>16</v>
      </c>
    </row>
    <row r="10" spans="1:5" x14ac:dyDescent="0.45">
      <c r="A10" s="5" t="s">
        <v>132</v>
      </c>
      <c r="B10" s="13">
        <v>37100</v>
      </c>
      <c r="C10" s="13">
        <v>870</v>
      </c>
      <c r="D10" s="13">
        <v>772</v>
      </c>
      <c r="E10" s="13">
        <v>98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2025-02-17T08:36:56Z</dcterms:modified>
</cp:coreProperties>
</file>