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_4시간계획" sheetId="1" state="visible" r:id="rId1"/>
    <sheet xmlns:r="http://schemas.openxmlformats.org/officeDocument/2006/relationships" name="0_날짜는숫자" sheetId="2" state="visible" r:id="rId2"/>
    <sheet xmlns:r="http://schemas.openxmlformats.org/officeDocument/2006/relationships" name="0_기간계산공식" sheetId="3" state="visible" r:id="rId3"/>
    <sheet xmlns:r="http://schemas.openxmlformats.org/officeDocument/2006/relationships" name="1교시_오늘과추출" sheetId="4" state="visible" r:id="rId4"/>
    <sheet xmlns:r="http://schemas.openxmlformats.org/officeDocument/2006/relationships" name="2교시_만들기와시간" sheetId="5" state="visible" r:id="rId5"/>
    <sheet xmlns:r="http://schemas.openxmlformats.org/officeDocument/2006/relationships" name="3교시_요일과기간" sheetId="6" state="visible" r:id="rId6"/>
    <sheet xmlns:r="http://schemas.openxmlformats.org/officeDocument/2006/relationships" name="4교시_납기와월말" sheetId="7" state="visible" r:id="rId7"/>
    <sheet xmlns:r="http://schemas.openxmlformats.org/officeDocument/2006/relationships" name="실전연습" sheetId="8" state="visible" r:id="rId8"/>
    <sheet xmlns:r="http://schemas.openxmlformats.org/officeDocument/2006/relationships" name="정답해설" sheetId="9" state="visible" r:id="rId9"/>
    <sheet xmlns:r="http://schemas.openxmlformats.org/officeDocument/2006/relationships" name="강사용대본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yyyy-mm-dd;[Red]-yyyy-mm-dd"/>
    <numFmt numFmtId="167" formatCode="0.0"/>
    <numFmt numFmtId="168" formatCode="hh:mm"/>
    <numFmt numFmtId="169" formatCode="0.0&quot;시간&quot;"/>
    <numFmt numFmtId="170" formatCode="[h]:mm"/>
    <numFmt numFmtId="171" formatCode="yyyy-mm-dd hh:mm"/>
  </numFmts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7"/>
    </font>
    <font>
      <name val="맑은 고딕"/>
      <color rgb="0017365D"/>
      <sz val="10"/>
    </font>
    <font>
      <name val="맑은 고딕"/>
      <b val="1"/>
      <color rgb="0017365D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16"/>
    </font>
    <font>
      <name val="맑은 고딕"/>
      <b val="1"/>
      <color rgb="00FFFFFF"/>
      <sz val="11"/>
    </font>
    <font>
      <name val="맑은 고딕"/>
      <b val="1"/>
      <color rgb="0017365D"/>
    </font>
    <font>
      <name val="맑은 고딕"/>
      <b val="1"/>
    </font>
    <font>
      <name val="맑은 고딕"/>
      <b val="1"/>
      <color rgb="0017365D"/>
      <sz val="12"/>
    </font>
    <font>
      <name val="맑은 고딕"/>
      <b val="1"/>
      <color rgb="0017365D"/>
      <sz val="11"/>
    </font>
    <font>
      <name val="맑은 고딕"/>
      <b val="1"/>
      <color rgb="0017365D"/>
      <sz val="14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8FBFF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17365D"/>
      </top>
      <bottom style="medium">
        <color rgb="0017365D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165" fontId="8" fillId="3" borderId="0" applyAlignment="1" pivotButton="0" quotePrefix="0" xfId="0">
      <alignment horizontal="center" vertical="center"/>
    </xf>
    <xf numFmtId="165" fontId="0" fillId="0" borderId="0" pivotButton="0" quotePrefix="0" xfId="0"/>
    <xf numFmtId="0" fontId="9" fillId="5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166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1" fontId="5" fillId="3" borderId="1" applyAlignment="1" pivotButton="0" quotePrefix="0" xfId="0">
      <alignment vertical="center" wrapText="1"/>
    </xf>
    <xf numFmtId="168" fontId="5" fillId="6" borderId="1" applyAlignment="1" pivotButton="0" quotePrefix="0" xfId="0">
      <alignment vertical="center" wrapText="1"/>
    </xf>
    <xf numFmtId="167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10" fillId="3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165" fontId="5" fillId="0" borderId="1" applyAlignment="1" pivotButton="0" quotePrefix="0" xfId="0">
      <alignment vertical="center" wrapText="1"/>
    </xf>
    <xf numFmtId="165" fontId="5" fillId="6" borderId="1" applyAlignment="1" pivotButton="0" quotePrefix="0" xfId="0">
      <alignment vertical="center" wrapText="1"/>
    </xf>
    <xf numFmtId="169" fontId="5" fillId="3" borderId="1" applyAlignment="1" pivotButton="0" quotePrefix="0" xfId="0">
      <alignment vertical="center" wrapText="1"/>
    </xf>
    <xf numFmtId="168" fontId="5" fillId="0" borderId="1" applyAlignment="1" pivotButton="0" quotePrefix="0" xfId="0">
      <alignment vertical="center" wrapText="1"/>
    </xf>
    <xf numFmtId="170" fontId="5" fillId="3" borderId="1" applyAlignment="1" pivotButton="0" quotePrefix="0" xfId="0">
      <alignment vertical="center" wrapText="1"/>
    </xf>
    <xf numFmtId="1" fontId="5" fillId="5" borderId="1" applyAlignment="1" pivotButton="0" quotePrefix="0" xfId="0">
      <alignment vertical="center" wrapText="1"/>
    </xf>
    <xf numFmtId="169" fontId="5" fillId="5" borderId="1" applyAlignment="1" pivotButton="0" quotePrefix="0" xfId="0">
      <alignment vertical="center" wrapText="1"/>
    </xf>
    <xf numFmtId="170" fontId="5" fillId="5" borderId="1" applyAlignment="1" pivotButton="0" quotePrefix="0" xfId="0">
      <alignment vertical="center" wrapText="1"/>
    </xf>
    <xf numFmtId="0" fontId="8" fillId="7" borderId="0" applyAlignment="1" pivotButton="0" quotePrefix="0" xfId="0">
      <alignment horizontal="center" vertical="center"/>
    </xf>
    <xf numFmtId="165" fontId="5" fillId="3" borderId="1" applyAlignment="1" pivotButton="0" quotePrefix="0" xfId="0">
      <alignment vertical="center" wrapText="1"/>
    </xf>
    <xf numFmtId="165" fontId="5" fillId="5" borderId="1" applyAlignment="1" pivotButton="0" quotePrefix="0" xfId="0">
      <alignment vertical="center" wrapText="1"/>
    </xf>
    <xf numFmtId="0" fontId="12" fillId="3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 wrapText="1"/>
    </xf>
    <xf numFmtId="168" fontId="5" fillId="3" borderId="1" applyAlignment="1" pivotButton="0" quotePrefix="0" xfId="0">
      <alignment vertical="center" wrapText="1"/>
    </xf>
    <xf numFmtId="0" fontId="11" fillId="5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171" fontId="5" fillId="5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컴활 2급 실기 - 날짜와 시간 함수 4시간 학습지</t>
        </is>
      </c>
    </row>
    <row r="2" ht="28" customHeight="1">
      <c r="A2" s="2" t="inlineStr">
        <is>
          <t>컴맹 기준: 달력으로 이해 → 함수 조각 보기 → 따라 쓰기 → 빈칸 연습 → 시험형 문제 → 오답 교정</t>
        </is>
      </c>
    </row>
    <row r="3"/>
    <row r="4">
      <c r="A4" s="3" t="inlineStr">
        <is>
          <t>이 교재의 목표
날짜 함수 이름을 외우는 것이 아닙니다. 문제 문장에서 '꺼낼 것', '만들 것', '간격을 잴 것'을 찾아 알맞은 함수를 고르는 연습을 합니다.</t>
        </is>
      </c>
      <c r="B4" s="4" t="n"/>
      <c r="C4" s="4" t="n"/>
      <c r="D4" s="4" t="n"/>
      <c r="E4" s="4" t="n"/>
      <c r="F4" s="4" t="n"/>
    </row>
    <row r="5">
      <c r="A5" s="4" t="n"/>
      <c r="B5" s="4" t="n"/>
      <c r="C5" s="4" t="n"/>
      <c r="D5" s="4" t="n"/>
      <c r="E5" s="4" t="n"/>
      <c r="F5" s="4" t="n"/>
    </row>
    <row r="6"/>
    <row r="7">
      <c r="A7" s="5" t="inlineStr">
        <is>
          <t>시간</t>
        </is>
      </c>
      <c r="B7" s="5" t="inlineStr">
        <is>
          <t>시트</t>
        </is>
      </c>
      <c r="C7" s="5" t="inlineStr">
        <is>
          <t>배우는 것</t>
        </is>
      </c>
      <c r="D7" s="5" t="inlineStr">
        <is>
          <t>학생 활동</t>
        </is>
      </c>
      <c r="E7" s="5" t="inlineStr">
        <is>
          <t>시험 연결</t>
        </is>
      </c>
      <c r="F7" s="5" t="inlineStr">
        <is>
          <t>완료</t>
        </is>
      </c>
    </row>
    <row r="8">
      <c r="A8" s="6" t="inlineStr">
        <is>
          <t>0:00-0:20</t>
        </is>
      </c>
      <c r="B8" s="6" t="inlineStr">
        <is>
          <t>0_날짜는숫자</t>
        </is>
      </c>
      <c r="C8" s="6" t="inlineStr">
        <is>
          <t>엑셀이 날짜와 시간을 저장하는 방식</t>
        </is>
      </c>
      <c r="D8" s="6" t="inlineStr">
        <is>
          <t>달력 타임라인 보기</t>
        </is>
      </c>
      <c r="E8" s="6" t="inlineStr">
        <is>
          <t>날짜 계산 실수 예방</t>
        </is>
      </c>
      <c r="F8" s="7" t="inlineStr">
        <is>
          <t>□</t>
        </is>
      </c>
    </row>
    <row r="9">
      <c r="A9" s="8" t="inlineStr">
        <is>
          <t>0:20-0:40</t>
        </is>
      </c>
      <c r="B9" s="8" t="inlineStr">
        <is>
          <t>0_기간계산공식</t>
        </is>
      </c>
      <c r="C9" s="8" t="inlineStr">
        <is>
          <t>근속일수, 근무시간, 경과일 비교</t>
        </is>
      </c>
      <c r="D9" s="8" t="inlineStr">
        <is>
          <t>단위에 따라 공식 고르기</t>
        </is>
      </c>
      <c r="E9" s="8" t="inlineStr">
        <is>
          <t>기간 계산</t>
        </is>
      </c>
      <c r="F9" s="7" t="inlineStr">
        <is>
          <t>□</t>
        </is>
      </c>
    </row>
    <row r="10">
      <c r="A10" s="6" t="inlineStr">
        <is>
          <t>0:40-1:15</t>
        </is>
      </c>
      <c r="B10" s="6" t="inlineStr">
        <is>
          <t>1교시_오늘과추출</t>
        </is>
      </c>
      <c r="C10" s="6" t="inlineStr">
        <is>
          <t>TODAY, NOW, YEAR, MONTH, DAY</t>
        </is>
      </c>
      <c r="D10" s="6" t="inlineStr">
        <is>
          <t>생년월일/입사일 분해</t>
        </is>
      </c>
      <c r="E10" s="6" t="inlineStr">
        <is>
          <t>나이, 근속연수</t>
        </is>
      </c>
      <c r="F10" s="7" t="inlineStr">
        <is>
          <t>□</t>
        </is>
      </c>
    </row>
    <row r="11">
      <c r="A11" s="8" t="inlineStr">
        <is>
          <t>1:15-1:55</t>
        </is>
      </c>
      <c r="B11" s="8" t="inlineStr">
        <is>
          <t>2교시_만들기와시간</t>
        </is>
      </c>
      <c r="C11" s="8" t="inlineStr">
        <is>
          <t>DATE, TIME, HOUR, MINUTE, SECOND</t>
        </is>
      </c>
      <c r="D11" s="8" t="inlineStr">
        <is>
          <t>조각을 합쳐 날짜/시간 만들기</t>
        </is>
      </c>
      <c r="E11" s="8" t="inlineStr">
        <is>
          <t>만기일, 근무시간</t>
        </is>
      </c>
      <c r="F11" s="7" t="inlineStr">
        <is>
          <t>□</t>
        </is>
      </c>
    </row>
    <row r="12">
      <c r="A12" s="6" t="inlineStr">
        <is>
          <t>1:55-2:35</t>
        </is>
      </c>
      <c r="B12" s="6" t="inlineStr">
        <is>
          <t>3교시_요일과기간</t>
        </is>
      </c>
      <c r="C12" s="6" t="inlineStr">
        <is>
          <t>WEEKDAY, 날짜 빼기</t>
        </is>
      </c>
      <c r="D12" s="6" t="inlineStr">
        <is>
          <t>요일표와 기간 계산</t>
        </is>
      </c>
      <c r="E12" s="6" t="inlineStr">
        <is>
          <t>요일, 경과일</t>
        </is>
      </c>
      <c r="F12" s="7" t="inlineStr">
        <is>
          <t>□</t>
        </is>
      </c>
    </row>
    <row r="13">
      <c r="A13" s="8" t="inlineStr">
        <is>
          <t>2:35-3:15</t>
        </is>
      </c>
      <c r="B13" s="8" t="inlineStr">
        <is>
          <t>4교시_납기와월말</t>
        </is>
      </c>
      <c r="C13" s="8" t="inlineStr">
        <is>
          <t>WORKDAY, EDATE, EOMONTH</t>
        </is>
      </c>
      <c r="D13" s="8" t="inlineStr">
        <is>
          <t>납기일/월말 계산</t>
        </is>
      </c>
      <c r="E13" s="8" t="inlineStr">
        <is>
          <t>근무일, 만기일</t>
        </is>
      </c>
      <c r="F13" s="7" t="inlineStr">
        <is>
          <t>□</t>
        </is>
      </c>
    </row>
    <row r="14">
      <c r="A14" s="6" t="inlineStr">
        <is>
          <t>3:15-4:00</t>
        </is>
      </c>
      <c r="B14" s="6" t="inlineStr">
        <is>
          <t>실전연습</t>
        </is>
      </c>
      <c r="C14" s="6" t="inlineStr">
        <is>
          <t>컴활 2급 실기형 문제</t>
        </is>
      </c>
      <c r="D14" s="6" t="inlineStr">
        <is>
          <t>초록칸 직접 입력</t>
        </is>
      </c>
      <c r="E14" s="6" t="inlineStr">
        <is>
          <t>혼합 출제 대응</t>
        </is>
      </c>
      <c r="F14" s="7" t="inlineStr">
        <is>
          <t>□</t>
        </is>
      </c>
    </row>
    <row r="15"/>
    <row r="16" ht="34" customHeight="1">
      <c r="A16" s="3" t="inlineStr">
        <is>
          <t>색깔 약속: 파란칸 = 설명용 완성 예제 / 초록칸 = 직접 수식 입력 / 노란칸 = 시험에서 잡아야 할 단서 / 보라칸 = 정답 확인</t>
        </is>
      </c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</sheetData>
  <mergeCells count="4">
    <mergeCell ref="A2:F2"/>
    <mergeCell ref="A16:F17"/>
    <mergeCell ref="A1:F1"/>
    <mergeCell ref="A4:F5"/>
  </mergeCell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9" t="inlineStr">
        <is>
          <t>0. 날짜는 숫자다</t>
        </is>
      </c>
    </row>
    <row r="2" ht="28" customHeight="1">
      <c r="A2" s="2" t="inlineStr">
        <is>
          <t>날짜 계산이 되는 이유부터 눈으로 봅니다. 이 원리를 알면 함수가 덜 무섭습니다.</t>
        </is>
      </c>
    </row>
    <row r="3"/>
    <row r="4" ht="22" customHeight="1">
      <c r="A4" s="10" t="inlineStr">
        <is>
          <t>그림 1. 엑셀 달력은 숫자 자처럼 이어져 있다</t>
        </is>
      </c>
    </row>
    <row r="5"/>
    <row r="6">
      <c r="A6" s="11" t="n">
        <v>46172</v>
      </c>
      <c r="B6" s="12" t="n"/>
      <c r="C6" s="11" t="n">
        <v>46173</v>
      </c>
      <c r="D6" s="12" t="n"/>
      <c r="E6" s="11" t="n">
        <v>46174</v>
      </c>
      <c r="F6" s="12" t="n"/>
      <c r="G6" s="11" t="n">
        <v>46175</v>
      </c>
      <c r="H6" s="12" t="n"/>
      <c r="I6" s="11" t="n">
        <v>46176</v>
      </c>
      <c r="J6" s="12" t="n"/>
    </row>
    <row r="7">
      <c r="A7" s="13" t="inlineStr">
        <is>
          <t>내부 숫자 46172</t>
        </is>
      </c>
      <c r="C7" s="13" t="inlineStr">
        <is>
          <t>내부 숫자 46173</t>
        </is>
      </c>
      <c r="E7" s="13" t="inlineStr">
        <is>
          <t>내부 숫자 46174</t>
        </is>
      </c>
      <c r="G7" s="13" t="inlineStr">
        <is>
          <t>내부 숫자 46175</t>
        </is>
      </c>
      <c r="I7" s="13" t="inlineStr">
        <is>
          <t>내부 숫자 46176</t>
        </is>
      </c>
    </row>
    <row r="8">
      <c r="A8" s="14" t="inlineStr">
        <is>
          <t>하루가 지나면 내부 숫자가 1 증가한다 → 그래서 종료일 - 시작일로 기간을 잴 수 있다.</t>
        </is>
      </c>
    </row>
    <row r="9"/>
    <row r="10" ht="22" customHeight="1">
      <c r="A10" s="10" t="inlineStr">
        <is>
          <t>그림 2. 시간은 하루를 잘게 나눈 소수다</t>
        </is>
      </c>
    </row>
    <row r="11"/>
    <row r="12">
      <c r="A12" s="15" t="inlineStr">
        <is>
          <t>00:00</t>
        </is>
      </c>
      <c r="C12" s="15" t="inlineStr">
        <is>
          <t>06:00</t>
        </is>
      </c>
      <c r="E12" s="15" t="inlineStr">
        <is>
          <t>12:00</t>
        </is>
      </c>
      <c r="G12" s="15" t="inlineStr">
        <is>
          <t>18:00</t>
        </is>
      </c>
      <c r="I12" s="15" t="inlineStr">
        <is>
          <t>24:00</t>
        </is>
      </c>
    </row>
    <row r="13">
      <c r="A13" s="13" t="n">
        <v>0</v>
      </c>
      <c r="C13" s="13" t="n">
        <v>0.25</v>
      </c>
      <c r="E13" s="13" t="n">
        <v>0.5</v>
      </c>
      <c r="G13" s="13" t="n">
        <v>0.75</v>
      </c>
      <c r="I13" s="13" t="n">
        <v>1</v>
      </c>
    </row>
    <row r="14"/>
    <row r="15">
      <c r="A15" s="3" t="inlineStr">
        <is>
          <t>초보자 함정
날짜처럼 보이게 하는 것은 '표시 형식'입니다. 셀 안에는 숫자가 들어 있습니다. 시간 차이를 구한 뒤 24를 곱하면 '시간 수'가 됩니다.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/>
    <row r="18">
      <c r="A18" s="5" t="inlineStr">
        <is>
          <t>상황</t>
        </is>
      </c>
      <c r="B18" s="5" t="inlineStr">
        <is>
          <t>시작</t>
        </is>
      </c>
      <c r="C18" s="5" t="inlineStr">
        <is>
          <t>종료</t>
        </is>
      </c>
      <c r="D18" s="5" t="inlineStr">
        <is>
          <t>수식</t>
        </is>
      </c>
      <c r="E18" s="5" t="inlineStr">
        <is>
          <t>결과</t>
        </is>
      </c>
      <c r="F18" s="5" t="inlineStr">
        <is>
          <t>쉽게 말하면</t>
        </is>
      </c>
    </row>
    <row r="19">
      <c r="A19" s="6" t="inlineStr">
        <is>
          <t>날짜 차이</t>
        </is>
      </c>
      <c r="B19" s="16" t="n">
        <v>46174</v>
      </c>
      <c r="C19" s="16" t="n">
        <v>46183</v>
      </c>
      <c r="D19" s="17">
        <f>C19-B19</f>
        <v/>
      </c>
      <c r="E19" s="18">
        <f>C19-B19</f>
        <v/>
      </c>
      <c r="F19" s="6" t="inlineStr">
        <is>
          <t>며칠 지났나?</t>
        </is>
      </c>
    </row>
    <row r="20">
      <c r="A20" s="8" t="inlineStr">
        <is>
          <t>시간 차이</t>
        </is>
      </c>
      <c r="B20" s="19" t="n">
        <v>0.375</v>
      </c>
      <c r="C20" s="19" t="n">
        <v>0.7291666666666666</v>
      </c>
      <c r="D20" s="17">
        <f>(C20-B20)*24</f>
        <v/>
      </c>
      <c r="E20" s="20">
        <f>(C20-B20)*24</f>
        <v/>
      </c>
      <c r="F20" s="8" t="inlineStr">
        <is>
          <t>몇 시간 일했나?</t>
        </is>
      </c>
    </row>
  </sheetData>
  <mergeCells count="26">
    <mergeCell ref="E12:F12"/>
    <mergeCell ref="G12:H12"/>
    <mergeCell ref="C6:D6"/>
    <mergeCell ref="I6:J6"/>
    <mergeCell ref="A8:J8"/>
    <mergeCell ref="A4:J4"/>
    <mergeCell ref="A10:J10"/>
    <mergeCell ref="A6:B6"/>
    <mergeCell ref="A7:B7"/>
    <mergeCell ref="G7:H7"/>
    <mergeCell ref="I7:J7"/>
    <mergeCell ref="E13:F13"/>
    <mergeCell ref="G6:H6"/>
    <mergeCell ref="G13:H13"/>
    <mergeCell ref="A12:B12"/>
    <mergeCell ref="A1:J1"/>
    <mergeCell ref="C12:D12"/>
    <mergeCell ref="E6:F6"/>
    <mergeCell ref="I12:J12"/>
    <mergeCell ref="C7:D7"/>
    <mergeCell ref="E7:F7"/>
    <mergeCell ref="A13:B13"/>
    <mergeCell ref="C13:D13"/>
    <mergeCell ref="I13:J13"/>
    <mergeCell ref="A2:J2"/>
    <mergeCell ref="A15:J16"/>
  </mergeCells>
  <pageMargins left="0.3" right="0.3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5" customWidth="1" min="3" max="3"/>
    <col width="25" customWidth="1" min="4" max="4"/>
    <col width="24" customWidth="1" min="5" max="5"/>
    <col width="34" customWidth="1" min="6" max="6"/>
    <col width="20" customWidth="1" min="7" max="7"/>
    <col width="22" customWidth="1" min="8" max="8"/>
  </cols>
  <sheetData>
    <row r="1" ht="28" customHeight="1">
      <c r="A1" s="9" t="inlineStr">
        <is>
          <t>0. 기간 계산 공식: 먼저 단위를 본다</t>
        </is>
      </c>
    </row>
    <row r="2" ht="28" customHeight="1">
      <c r="A2" s="2" t="inlineStr">
        <is>
          <t>근속일수, 근무시간, 경과일은 모두 빼기입니다. 결과 단위 때문에 마지막 처리가 달라집니다.</t>
        </is>
      </c>
    </row>
    <row r="3"/>
    <row r="4" ht="22" customHeight="1">
      <c r="A4" s="10" t="inlineStr">
        <is>
          <t>그림 1. 문제 문장을 공식으로 번역하기</t>
        </is>
      </c>
    </row>
    <row r="5">
      <c r="A5" s="5" t="inlineStr">
        <is>
          <t>문제에서 묻는 것</t>
        </is>
      </c>
      <c r="B5" s="5" t="inlineStr">
        <is>
          <t>시작</t>
        </is>
      </c>
      <c r="C5" s="5" t="inlineStr">
        <is>
          <t>끝 또는 기준</t>
        </is>
      </c>
      <c r="D5" s="5" t="inlineStr">
        <is>
          <t>기본 수식</t>
        </is>
      </c>
      <c r="E5" s="5" t="inlineStr">
        <is>
          <t>결과 단위</t>
        </is>
      </c>
      <c r="F5" s="5" t="inlineStr">
        <is>
          <t>왜 이렇게 하나?</t>
        </is>
      </c>
      <c r="G5" s="5" t="inlineStr">
        <is>
          <t>시작 포함?</t>
        </is>
      </c>
      <c r="H5" s="5" t="inlineStr">
        <is>
          <t>시험 단서</t>
        </is>
      </c>
    </row>
    <row r="6">
      <c r="A6" s="6" t="inlineStr">
        <is>
          <t>경과일</t>
        </is>
      </c>
      <c r="B6" s="6" t="inlineStr">
        <is>
          <t>시작일</t>
        </is>
      </c>
      <c r="C6" s="6" t="inlineStr">
        <is>
          <t>종료일</t>
        </is>
      </c>
      <c r="D6" s="17" t="inlineStr">
        <is>
          <t>공식: =종료일-시작일</t>
        </is>
      </c>
      <c r="E6" s="21" t="inlineStr">
        <is>
          <t>일</t>
        </is>
      </c>
      <c r="F6" s="6" t="inlineStr">
        <is>
          <t>날짜는 하루마다 1씩 증가</t>
        </is>
      </c>
      <c r="G6" s="6" t="inlineStr">
        <is>
          <t>포함이면 +1</t>
        </is>
      </c>
      <c r="H6" s="6" t="inlineStr">
        <is>
          <t>경과일, 소요일수</t>
        </is>
      </c>
    </row>
    <row r="7">
      <c r="A7" s="8" t="inlineStr">
        <is>
          <t>근속일수</t>
        </is>
      </c>
      <c r="B7" s="8" t="inlineStr">
        <is>
          <t>입사일</t>
        </is>
      </c>
      <c r="C7" s="8" t="inlineStr">
        <is>
          <t>오늘</t>
        </is>
      </c>
      <c r="D7" s="17" t="inlineStr">
        <is>
          <t>공식: =TODAY()-입사일</t>
        </is>
      </c>
      <c r="E7" s="21" t="inlineStr">
        <is>
          <t>일</t>
        </is>
      </c>
      <c r="F7" s="8" t="inlineStr">
        <is>
          <t>오늘까지 며칠 지났는지 계산</t>
        </is>
      </c>
      <c r="G7" s="8" t="inlineStr">
        <is>
          <t>문제 지시 확인</t>
        </is>
      </c>
      <c r="H7" s="8" t="inlineStr">
        <is>
          <t>근속일수, 재직일수</t>
        </is>
      </c>
    </row>
    <row r="8">
      <c r="A8" s="6" t="inlineStr">
        <is>
          <t>근무시간(숫자)</t>
        </is>
      </c>
      <c r="B8" s="6" t="inlineStr">
        <is>
          <t>출근</t>
        </is>
      </c>
      <c r="C8" s="6" t="inlineStr">
        <is>
          <t>퇴근</t>
        </is>
      </c>
      <c r="D8" s="17" t="inlineStr">
        <is>
          <t>공식: =(퇴근-출근)*24</t>
        </is>
      </c>
      <c r="E8" s="21" t="inlineStr">
        <is>
          <t>시간 수</t>
        </is>
      </c>
      <c r="F8" s="6" t="inlineStr">
        <is>
          <t>시간 차이는 하루 기준 소수라서 24를 곱함</t>
        </is>
      </c>
      <c r="G8" s="6" t="inlineStr">
        <is>
          <t>해당 없음</t>
        </is>
      </c>
      <c r="H8" s="6" t="inlineStr">
        <is>
          <t>몇 시간, 근무시간</t>
        </is>
      </c>
    </row>
    <row r="9">
      <c r="A9" s="8" t="inlineStr">
        <is>
          <t>근무시간(시:분)</t>
        </is>
      </c>
      <c r="B9" s="8" t="inlineStr">
        <is>
          <t>출근</t>
        </is>
      </c>
      <c r="C9" s="8" t="inlineStr">
        <is>
          <t>퇴근</t>
        </is>
      </c>
      <c r="D9" s="17" t="inlineStr">
        <is>
          <t>공식: =퇴근-출근</t>
        </is>
      </c>
      <c r="E9" s="21" t="inlineStr">
        <is>
          <t>시:분</t>
        </is>
      </c>
      <c r="F9" s="8" t="inlineStr">
        <is>
          <t>시간 표시 형식으로 보여주면 24를 곱하지 않음</t>
        </is>
      </c>
      <c r="G9" s="8" t="inlineStr">
        <is>
          <t>해당 없음</t>
        </is>
      </c>
      <c r="H9" s="8" t="inlineStr">
        <is>
          <t>hh:mm 형식</t>
        </is>
      </c>
    </row>
    <row r="10"/>
    <row r="11">
      <c r="A11" s="3" t="inlineStr">
        <is>
          <t>한 줄 암기
날짜끼리 빼면 이미 '일수'다. 시간끼리 빼면 '하루의 일부'다. 몇 시간인지 숫자로 보여 달라면 마지막에 *24를 붙인다.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/>
    <row r="14" ht="22" customHeight="1">
      <c r="A14" s="10" t="inlineStr">
        <is>
          <t>그림 2. 시작일 포함 여부: 문제 문장을 꼭 확인</t>
        </is>
      </c>
    </row>
    <row r="15"/>
    <row r="16">
      <c r="A16" s="22" t="inlineStr">
        <is>
          <t>6월 1일
시작</t>
        </is>
      </c>
      <c r="C16" s="23" t="inlineStr">
        <is>
          <t>경과한 거리: 9일
=종료일-시작일
시작일과 종료일을 모두 세기: 10일
=종료일-시작일+1</t>
        </is>
      </c>
      <c r="G16" s="24" t="inlineStr">
        <is>
          <t>6월 10일
종료</t>
        </is>
      </c>
    </row>
    <row r="17"/>
    <row r="18"/>
    <row r="19">
      <c r="A19" s="3" t="inlineStr">
        <is>
          <t>주의
그냥 '경과일'이면 종료일-시작일. '시작일을 포함하여', '총 며칠 동안'처럼 양 끝 날짜를 모두 세라고 하면 +1을 붙입니다.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/>
    <row r="22" ht="22" customHeight="1">
      <c r="A22" s="10" t="inlineStr">
        <is>
          <t>따라 쓰는 예제: 결과 단위를 비교</t>
        </is>
      </c>
    </row>
    <row r="23">
      <c r="A23" s="5" t="inlineStr">
        <is>
          <t>종류</t>
        </is>
      </c>
      <c r="B23" s="5" t="inlineStr">
        <is>
          <t>시작 또는 출근</t>
        </is>
      </c>
      <c r="C23" s="5" t="inlineStr">
        <is>
          <t>종료 또는 퇴근</t>
        </is>
      </c>
      <c r="D23" s="5" t="inlineStr">
        <is>
          <t>수식</t>
        </is>
      </c>
      <c r="E23" s="5" t="inlineStr">
        <is>
          <t>결과</t>
        </is>
      </c>
      <c r="F23" s="5" t="inlineStr">
        <is>
          <t>표시 형식</t>
        </is>
      </c>
      <c r="G23" s="5" t="inlineStr">
        <is>
          <t>읽는 법</t>
        </is>
      </c>
      <c r="H23" s="5" t="inlineStr">
        <is>
          <t>핵심</t>
        </is>
      </c>
    </row>
    <row r="24">
      <c r="A24" s="6" t="inlineStr">
        <is>
          <t>경과일</t>
        </is>
      </c>
      <c r="B24" s="25" t="n">
        <v>46174</v>
      </c>
      <c r="C24" s="25" t="n">
        <v>46183</v>
      </c>
      <c r="D24" s="17">
        <f>C24-B24</f>
        <v/>
      </c>
      <c r="E24" s="18">
        <f>C24-B24</f>
        <v/>
      </c>
      <c r="F24" s="6" t="inlineStr">
        <is>
          <t>숫자</t>
        </is>
      </c>
      <c r="G24" s="6" t="inlineStr">
        <is>
          <t>9일</t>
        </is>
      </c>
      <c r="H24" s="6" t="inlineStr">
        <is>
          <t>날짜 차이는 그대로</t>
        </is>
      </c>
    </row>
    <row r="25">
      <c r="A25" s="8" t="inlineStr">
        <is>
          <t>양 끝 포함 일수</t>
        </is>
      </c>
      <c r="B25" s="26" t="n">
        <v>46174</v>
      </c>
      <c r="C25" s="26" t="n">
        <v>46183</v>
      </c>
      <c r="D25" s="17">
        <f>C25-B25+1</f>
        <v/>
      </c>
      <c r="E25" s="18">
        <f>C25-B25+1</f>
        <v/>
      </c>
      <c r="F25" s="8" t="inlineStr">
        <is>
          <t>숫자</t>
        </is>
      </c>
      <c r="G25" s="8" t="inlineStr">
        <is>
          <t>10일</t>
        </is>
      </c>
      <c r="H25" s="8" t="inlineStr">
        <is>
          <t>포함 지시가 있을 때만 +1</t>
        </is>
      </c>
    </row>
    <row r="26">
      <c r="A26" s="6" t="inlineStr">
        <is>
          <t>근속일수</t>
        </is>
      </c>
      <c r="B26" s="25" t="n">
        <v>43831</v>
      </c>
      <c r="C26" s="25">
        <f>TODAY()</f>
        <v/>
      </c>
      <c r="D26" s="17">
        <f>TODAY()-B26</f>
        <v/>
      </c>
      <c r="E26" s="18">
        <f>TODAY()-B26</f>
        <v/>
      </c>
      <c r="F26" s="6" t="inlineStr">
        <is>
          <t>숫자</t>
        </is>
      </c>
      <c r="G26" s="6" t="inlineStr">
        <is>
          <t>오늘까지 일수</t>
        </is>
      </c>
      <c r="H26" s="6" t="inlineStr">
        <is>
          <t>오늘-입사일</t>
        </is>
      </c>
    </row>
    <row r="27">
      <c r="A27" s="8" t="inlineStr">
        <is>
          <t>근무시간 숫자</t>
        </is>
      </c>
      <c r="B27" s="19" t="n">
        <v>0.375</v>
      </c>
      <c r="C27" s="19" t="n">
        <v>0.7291666666666666</v>
      </c>
      <c r="D27" s="17">
        <f>(C27-B27)*24</f>
        <v/>
      </c>
      <c r="E27" s="27">
        <f>(C27-B27)*24</f>
        <v/>
      </c>
      <c r="F27" s="8" t="inlineStr">
        <is>
          <t>숫자</t>
        </is>
      </c>
      <c r="G27" s="8" t="inlineStr">
        <is>
          <t>8.5시간</t>
        </is>
      </c>
      <c r="H27" s="8" t="inlineStr">
        <is>
          <t>몇 시간이면 *24</t>
        </is>
      </c>
    </row>
    <row r="28">
      <c r="A28" s="6" t="inlineStr">
        <is>
          <t>근무시간 시:분</t>
        </is>
      </c>
      <c r="B28" s="28" t="n">
        <v>0.375</v>
      </c>
      <c r="C28" s="28" t="n">
        <v>0.7291666666666666</v>
      </c>
      <c r="D28" s="17">
        <f>C28-B28</f>
        <v/>
      </c>
      <c r="E28" s="29">
        <f>C28-B28</f>
        <v/>
      </c>
      <c r="F28" s="6" t="inlineStr">
        <is>
          <t>[h]:mm</t>
        </is>
      </c>
      <c r="G28" s="6" t="inlineStr">
        <is>
          <t>8:30</t>
        </is>
      </c>
      <c r="H28" s="6" t="inlineStr">
        <is>
          <t>시:분이면 *24 없음</t>
        </is>
      </c>
    </row>
    <row r="29"/>
    <row r="30" ht="22" customHeight="1">
      <c r="A30" s="10" t="inlineStr">
        <is>
          <t>직접 입력 연습: 초록칸을 채우기</t>
        </is>
      </c>
    </row>
    <row r="31">
      <c r="A31" s="5" t="inlineStr">
        <is>
          <t>문제</t>
        </is>
      </c>
      <c r="B31" s="5" t="inlineStr">
        <is>
          <t>시작 또는 출근</t>
        </is>
      </c>
      <c r="C31" s="5" t="inlineStr">
        <is>
          <t>종료 또는 퇴근</t>
        </is>
      </c>
      <c r="D31" s="5" t="inlineStr">
        <is>
          <t>정답 입력</t>
        </is>
      </c>
      <c r="E31" s="5" t="inlineStr">
        <is>
          <t>단위</t>
        </is>
      </c>
      <c r="F31" s="5" t="inlineStr">
        <is>
          <t>힌트</t>
        </is>
      </c>
      <c r="G31" s="5" t="inlineStr">
        <is>
          <t>결과 예상</t>
        </is>
      </c>
      <c r="H31" s="5" t="inlineStr">
        <is>
          <t>확인</t>
        </is>
      </c>
    </row>
    <row r="32">
      <c r="A32" s="6" t="inlineStr">
        <is>
          <t>경과일</t>
        </is>
      </c>
      <c r="B32" s="25" t="n">
        <v>46204</v>
      </c>
      <c r="C32" s="25" t="n">
        <v>46218</v>
      </c>
      <c r="D32" s="30" t="n"/>
      <c r="E32" s="6" t="inlineStr">
        <is>
          <t>일</t>
        </is>
      </c>
      <c r="F32" s="6" t="inlineStr">
        <is>
          <t>종료-시작</t>
        </is>
      </c>
      <c r="G32" s="6" t="inlineStr">
        <is>
          <t>14</t>
        </is>
      </c>
      <c r="H32" s="6" t="inlineStr">
        <is>
          <t>□</t>
        </is>
      </c>
    </row>
    <row r="33">
      <c r="A33" s="8" t="inlineStr">
        <is>
          <t>양 끝 포함 일수</t>
        </is>
      </c>
      <c r="B33" s="26" t="n">
        <v>46204</v>
      </c>
      <c r="C33" s="26" t="n">
        <v>46218</v>
      </c>
      <c r="D33" s="30" t="n"/>
      <c r="E33" s="8" t="inlineStr">
        <is>
          <t>일</t>
        </is>
      </c>
      <c r="F33" s="8" t="inlineStr">
        <is>
          <t>종료-시작+1</t>
        </is>
      </c>
      <c r="G33" s="8" t="inlineStr">
        <is>
          <t>15</t>
        </is>
      </c>
      <c r="H33" s="8" t="inlineStr">
        <is>
          <t>□</t>
        </is>
      </c>
    </row>
    <row r="34">
      <c r="A34" s="6" t="inlineStr">
        <is>
          <t>근속일수</t>
        </is>
      </c>
      <c r="B34" s="25" t="n">
        <v>43831</v>
      </c>
      <c r="C34" s="25">
        <f>TODAY()</f>
        <v/>
      </c>
      <c r="D34" s="30" t="n"/>
      <c r="E34" s="6" t="inlineStr">
        <is>
          <t>일</t>
        </is>
      </c>
      <c r="F34" s="6" t="inlineStr">
        <is>
          <t>TODAY()-입사일</t>
        </is>
      </c>
      <c r="G34" s="6" t="inlineStr">
        <is>
          <t>오늘까지 일수</t>
        </is>
      </c>
      <c r="H34" s="6" t="inlineStr">
        <is>
          <t>□</t>
        </is>
      </c>
    </row>
    <row r="35">
      <c r="A35" s="8" t="inlineStr">
        <is>
          <t>근무시간 숫자</t>
        </is>
      </c>
      <c r="B35" s="19" t="n">
        <v>0.3541666666666667</v>
      </c>
      <c r="C35" s="19" t="n">
        <v>0.75</v>
      </c>
      <c r="D35" s="31" t="n"/>
      <c r="E35" s="8" t="inlineStr">
        <is>
          <t>시간</t>
        </is>
      </c>
      <c r="F35" s="8" t="inlineStr">
        <is>
          <t>(퇴근-출근)*24</t>
        </is>
      </c>
      <c r="G35" s="8" t="inlineStr">
        <is>
          <t>9.5</t>
        </is>
      </c>
      <c r="H35" s="8" t="inlineStr">
        <is>
          <t>□</t>
        </is>
      </c>
    </row>
    <row r="36">
      <c r="A36" s="6" t="inlineStr">
        <is>
          <t>근무시간 시:분</t>
        </is>
      </c>
      <c r="B36" s="28" t="n">
        <v>0.3541666666666667</v>
      </c>
      <c r="C36" s="28" t="n">
        <v>0.75</v>
      </c>
      <c r="D36" s="32" t="n"/>
      <c r="E36" s="6" t="inlineStr">
        <is>
          <t>시:분</t>
        </is>
      </c>
      <c r="F36" s="6" t="inlineStr">
        <is>
          <t>퇴근-출근</t>
        </is>
      </c>
      <c r="G36" s="6" t="inlineStr">
        <is>
          <t>9:30</t>
        </is>
      </c>
      <c r="H36" s="6" t="inlineStr">
        <is>
          <t>□</t>
        </is>
      </c>
    </row>
    <row r="37"/>
    <row r="38">
      <c r="A38" s="3" t="inlineStr">
        <is>
          <t>추가 주의: 자정을 넘기는 야간 근무
퇴근 시간이 출근 시간보다 작아질 수 있습니다. 그때는 =MOD(퇴근-출근,1)*24를 사용합니다. 기본 문제를 익힌 뒤 적용하세요.</t>
        </is>
      </c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</sheetData>
  <mergeCells count="12">
    <mergeCell ref="A1:H1"/>
    <mergeCell ref="A4:H4"/>
    <mergeCell ref="A30:H30"/>
    <mergeCell ref="A16:B17"/>
    <mergeCell ref="A2:H2"/>
    <mergeCell ref="G16:H17"/>
    <mergeCell ref="A14:H14"/>
    <mergeCell ref="C16:F17"/>
    <mergeCell ref="A19:H20"/>
    <mergeCell ref="A11:H12"/>
    <mergeCell ref="A22:H22"/>
    <mergeCell ref="A38:H39"/>
  </mergeCells>
  <pageMargins left="0.3" right="0.3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30" customWidth="1" min="8" max="8"/>
  </cols>
  <sheetData>
    <row r="1" ht="28" customHeight="1">
      <c r="A1" s="9" t="inlineStr">
        <is>
          <t>1교시. 오늘 날짜와 날짜 조각 꺼내기</t>
        </is>
      </c>
    </row>
    <row r="2" ht="28" customHeight="1">
      <c r="A2" s="2" t="inlineStr">
        <is>
          <t>TODAY, NOW, YEAR, MONTH, DAY를 일상 예제로 익힙니다.</t>
        </is>
      </c>
    </row>
    <row r="3"/>
    <row r="4" ht="22" customHeight="1">
      <c r="A4" s="10" t="inlineStr">
        <is>
          <t>눈으로 보는 함수 지도</t>
        </is>
      </c>
    </row>
    <row r="5"/>
    <row r="6">
      <c r="A6" s="22" t="inlineStr">
        <is>
          <t>TODAY()
오늘 날짜</t>
        </is>
      </c>
      <c r="D6" s="24" t="inlineStr">
        <is>
          <t>NOW()
지금 날짜 + 시간</t>
        </is>
      </c>
      <c r="G6" s="23" t="inlineStr">
        <is>
          <t>자동 갱신
파일을 열거나 재계산할 때</t>
        </is>
      </c>
    </row>
    <row r="7"/>
    <row r="8"/>
    <row r="9">
      <c r="A9" s="33" t="inlineStr">
        <is>
          <t>날짜 한 덩어리 2026-06-01  →  YEAR(날짜)=2026  /  MONTH(날짜)=6  /  DAY(날짜)=1</t>
        </is>
      </c>
    </row>
    <row r="10"/>
    <row r="11" ht="22" customHeight="1">
      <c r="A11" s="10" t="inlineStr">
        <is>
          <t>따라 쓰는 예제</t>
        </is>
      </c>
    </row>
    <row r="12">
      <c r="A12" s="5" t="inlineStr">
        <is>
          <t>이름</t>
        </is>
      </c>
      <c r="B12" s="5" t="inlineStr">
        <is>
          <t>생년월일</t>
        </is>
      </c>
      <c r="C12" s="5" t="inlineStr">
        <is>
          <t>입사일</t>
        </is>
      </c>
      <c r="D12" s="5" t="inlineStr">
        <is>
          <t>오늘</t>
        </is>
      </c>
      <c r="E12" s="5" t="inlineStr">
        <is>
          <t>출생연도</t>
        </is>
      </c>
      <c r="F12" s="5" t="inlineStr">
        <is>
          <t>입사월</t>
        </is>
      </c>
      <c r="G12" s="5" t="inlineStr">
        <is>
          <t>입사일자</t>
        </is>
      </c>
      <c r="H12" s="5" t="inlineStr">
        <is>
          <t>수식 읽기</t>
        </is>
      </c>
    </row>
    <row r="13">
      <c r="A13" s="6" t="inlineStr">
        <is>
          <t>김하늘</t>
        </is>
      </c>
      <c r="B13" s="25" t="n">
        <v>35657</v>
      </c>
      <c r="C13" s="25" t="n">
        <v>44257</v>
      </c>
      <c r="D13" s="34">
        <f>TODAY()</f>
        <v/>
      </c>
      <c r="E13" s="17">
        <f>YEAR(B13)</f>
        <v/>
      </c>
      <c r="F13" s="17">
        <f>MONTH(C13)</f>
        <v/>
      </c>
      <c r="G13" s="17">
        <f>DAY(C13)</f>
        <v/>
      </c>
      <c r="H13" s="6" t="inlineStr">
        <is>
          <t>B13에서 연도만 / C13에서 월만 / 일만 꺼냄</t>
        </is>
      </c>
    </row>
    <row r="14">
      <c r="A14" s="8" t="inlineStr">
        <is>
          <t>이바다</t>
        </is>
      </c>
      <c r="B14" s="26" t="n">
        <v>36532</v>
      </c>
      <c r="C14" s="26" t="n">
        <v>45614</v>
      </c>
      <c r="D14" s="34">
        <f>TODAY()</f>
        <v/>
      </c>
      <c r="E14" s="17">
        <f>YEAR(B14)</f>
        <v/>
      </c>
      <c r="F14" s="17">
        <f>MONTH(C14)</f>
        <v/>
      </c>
      <c r="G14" s="17">
        <f>DAY(C14)</f>
        <v/>
      </c>
      <c r="H14" s="8" t="inlineStr">
        <is>
          <t>같은 함수를 아래로 복사</t>
        </is>
      </c>
    </row>
    <row r="15">
      <c r="A15" s="6" t="inlineStr">
        <is>
          <t>박구름</t>
        </is>
      </c>
      <c r="B15" s="25" t="n">
        <v>32871</v>
      </c>
      <c r="C15" s="25" t="n">
        <v>43290</v>
      </c>
      <c r="D15" s="34">
        <f>TODAY()</f>
        <v/>
      </c>
      <c r="E15" s="17">
        <f>YEAR(B15)</f>
        <v/>
      </c>
      <c r="F15" s="17">
        <f>MONTH(C15)</f>
        <v/>
      </c>
      <c r="G15" s="17">
        <f>DAY(C15)</f>
        <v/>
      </c>
      <c r="H15" s="6" t="inlineStr">
        <is>
          <t>같은 함수를 아래로 복사</t>
        </is>
      </c>
    </row>
    <row r="16"/>
    <row r="17">
      <c r="A17" s="3" t="inlineStr">
        <is>
          <t>시험 단서 번역
'현재 날짜' → TODAY() / '현재 날짜와 시간' → NOW() / '연도만' → YEAR / '월만' → MONTH / '일만' → DAY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/>
    <row r="20" ht="22" customHeight="1">
      <c r="A20" s="10" t="inlineStr">
        <is>
          <t>직접 입력 연습: 초록칸을 채우고 아래로 복사</t>
        </is>
      </c>
    </row>
    <row r="21">
      <c r="A21" s="5" t="inlineStr">
        <is>
          <t>사원</t>
        </is>
      </c>
      <c r="B21" s="5" t="inlineStr">
        <is>
          <t>입사일</t>
        </is>
      </c>
      <c r="C21" s="5" t="inlineStr">
        <is>
          <t>입사연도</t>
        </is>
      </c>
      <c r="D21" s="5" t="inlineStr">
        <is>
          <t>입사월</t>
        </is>
      </c>
      <c r="E21" s="5" t="inlineStr">
        <is>
          <t>입사일자</t>
        </is>
      </c>
      <c r="F21" s="5" t="inlineStr">
        <is>
          <t>오늘</t>
        </is>
      </c>
      <c r="G21" s="5" t="inlineStr">
        <is>
          <t>근속연수</t>
        </is>
      </c>
      <c r="H21" s="5" t="inlineStr">
        <is>
          <t>문제</t>
        </is>
      </c>
    </row>
    <row r="22">
      <c r="A22" s="6" t="inlineStr">
        <is>
          <t>최초롱</t>
        </is>
      </c>
      <c r="B22" s="25" t="n">
        <v>43567</v>
      </c>
      <c r="C22" s="7" t="n"/>
      <c r="D22" s="7" t="n"/>
      <c r="E22" s="7" t="n"/>
      <c r="F22" s="35" t="n"/>
      <c r="G22" s="7" t="n"/>
      <c r="H22" s="6" t="inlineStr">
        <is>
          <t>C:F는 추출/TODAY, G는 현재연도-입사연도</t>
        </is>
      </c>
    </row>
    <row r="23">
      <c r="A23" s="8" t="inlineStr">
        <is>
          <t>정새벽</t>
        </is>
      </c>
      <c r="B23" s="26" t="n">
        <v>44837</v>
      </c>
      <c r="C23" s="7" t="n"/>
      <c r="D23" s="7" t="n"/>
      <c r="E23" s="7" t="n"/>
      <c r="F23" s="35" t="n"/>
      <c r="G23" s="7" t="n"/>
      <c r="H23" s="8" t="inlineStr">
        <is>
          <t>22행 수식을 아래로 복사</t>
        </is>
      </c>
    </row>
    <row r="24">
      <c r="A24" s="6" t="inlineStr">
        <is>
          <t>윤여름</t>
        </is>
      </c>
      <c r="B24" s="25" t="n">
        <v>42394</v>
      </c>
      <c r="C24" s="7" t="n"/>
      <c r="D24" s="7" t="n"/>
      <c r="E24" s="7" t="n"/>
      <c r="F24" s="35" t="n"/>
      <c r="G24" s="7" t="n"/>
      <c r="H24" s="6" t="inlineStr">
        <is>
          <t>22행 수식을 아래로 복사</t>
        </is>
      </c>
    </row>
    <row r="25"/>
    <row r="26"/>
    <row r="27">
      <c r="A27" s="3" t="inlineStr">
        <is>
          <t>정답은 '정답해설' 시트에서 확인하세요. TODAY와 NOW는 괄호 안에 아무것도 넣지 않습니다.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</sheetData>
  <mergeCells count="11">
    <mergeCell ref="A9:H9"/>
    <mergeCell ref="A4:H4"/>
    <mergeCell ref="A17:H18"/>
    <mergeCell ref="G6:H7"/>
    <mergeCell ref="A20:H20"/>
    <mergeCell ref="A2:H2"/>
    <mergeCell ref="A6:B7"/>
    <mergeCell ref="D6:E7"/>
    <mergeCell ref="A11:H11"/>
    <mergeCell ref="A1:H1"/>
    <mergeCell ref="A27:H28"/>
  </mergeCells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</cols>
  <sheetData>
    <row r="1" ht="28" customHeight="1">
      <c r="A1" s="9" t="inlineStr">
        <is>
          <t>2교시. 조각을 합쳐 날짜와 시간 만들기</t>
        </is>
      </c>
    </row>
    <row r="2" ht="28" customHeight="1">
      <c r="A2" s="2" t="inlineStr">
        <is>
          <t>DATE, TIME으로 만들고 HOUR, MINUTE, SECOND로 다시 꺼냅니다.</t>
        </is>
      </c>
    </row>
    <row r="3"/>
    <row r="4" ht="22" customHeight="1">
      <c r="A4" s="10" t="inlineStr">
        <is>
          <t>그림 1. DATE는 레고처럼 연, 월, 일을 조립한다</t>
        </is>
      </c>
    </row>
    <row r="5"/>
    <row r="6">
      <c r="A6" s="36" t="inlineStr">
        <is>
          <t>2026
연</t>
        </is>
      </c>
      <c r="C6" s="37" t="inlineStr">
        <is>
          <t>6
월</t>
        </is>
      </c>
      <c r="E6" s="38" t="inlineStr">
        <is>
          <t>15
일</t>
        </is>
      </c>
      <c r="G6" s="39" t="inlineStr">
        <is>
          <t>예시: =DATE(2026,6,15)
→ 2026-06-15</t>
        </is>
      </c>
    </row>
    <row r="7"/>
    <row r="8"/>
    <row r="9" ht="22" customHeight="1">
      <c r="A9" s="10" t="inlineStr">
        <is>
          <t>그림 2. TIME도 시, 분, 초를 조립한다</t>
        </is>
      </c>
    </row>
    <row r="10"/>
    <row r="11">
      <c r="A11" s="36" t="inlineStr">
        <is>
          <t>9
시</t>
        </is>
      </c>
      <c r="C11" s="37" t="inlineStr">
        <is>
          <t>30
분</t>
        </is>
      </c>
      <c r="E11" s="38" t="inlineStr">
        <is>
          <t>0
초</t>
        </is>
      </c>
      <c r="G11" s="39" t="inlineStr">
        <is>
          <t>예시: =TIME(9,30,0)
→ 09:30:00</t>
        </is>
      </c>
    </row>
    <row r="12"/>
    <row r="13"/>
    <row r="14" ht="22" customHeight="1">
      <c r="A14" s="10" t="inlineStr">
        <is>
          <t>따라 쓰는 예제</t>
        </is>
      </c>
    </row>
    <row r="15">
      <c r="A15" s="5" t="inlineStr">
        <is>
          <t>연</t>
        </is>
      </c>
      <c r="B15" s="5" t="inlineStr">
        <is>
          <t>월</t>
        </is>
      </c>
      <c r="C15" s="5" t="inlineStr">
        <is>
          <t>일</t>
        </is>
      </c>
      <c r="D15" s="5" t="inlineStr">
        <is>
          <t>DATE 결과</t>
        </is>
      </c>
      <c r="E15" s="5" t="inlineStr">
        <is>
          <t>시</t>
        </is>
      </c>
      <c r="F15" s="5" t="inlineStr">
        <is>
          <t>분</t>
        </is>
      </c>
      <c r="G15" s="5" t="inlineStr">
        <is>
          <t>TIME 결과</t>
        </is>
      </c>
      <c r="H15" s="5" t="inlineStr">
        <is>
          <t>꺼내기</t>
        </is>
      </c>
    </row>
    <row r="16">
      <c r="A16" s="6" t="n">
        <v>2026</v>
      </c>
      <c r="B16" s="6" t="n">
        <v>6</v>
      </c>
      <c r="C16" s="6" t="n">
        <v>15</v>
      </c>
      <c r="D16" s="34">
        <f>DATE(A16,B16,C16)</f>
        <v/>
      </c>
      <c r="E16" s="6" t="n">
        <v>9</v>
      </c>
      <c r="F16" s="6" t="n">
        <v>30</v>
      </c>
      <c r="G16" s="40">
        <f>TIME(E16,F16,0)</f>
        <v/>
      </c>
      <c r="H16" s="17">
        <f>HOUR(G16)&amp;"시 "&amp;MINUTE(G16)&amp;"분"</f>
        <v/>
      </c>
    </row>
    <row r="17">
      <c r="A17" s="8" t="n">
        <v>2026</v>
      </c>
      <c r="B17" s="8" t="n">
        <v>12</v>
      </c>
      <c r="C17" s="8" t="n">
        <v>31</v>
      </c>
      <c r="D17" s="34">
        <f>DATE(A17,B17,C17)</f>
        <v/>
      </c>
      <c r="E17" s="8" t="n">
        <v>14</v>
      </c>
      <c r="F17" s="8" t="n">
        <v>5</v>
      </c>
      <c r="G17" s="40">
        <f>TIME(E17,F17,0)</f>
        <v/>
      </c>
      <c r="H17" s="17">
        <f>HOUR(G17)&amp;"시 "&amp;MINUTE(G17)&amp;"분"</f>
        <v/>
      </c>
    </row>
    <row r="18"/>
    <row r="19">
      <c r="A19" s="3" t="inlineStr">
        <is>
          <t>시험 단서 번역
'연, 월, 일을 이용하여 날짜를 표시' → DATE / '시, 분, 초를 이용하여 시간 표시' → TIME / '시간에서 시만 추출' → HOUR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/>
    <row r="22" ht="22" customHeight="1">
      <c r="A22" s="10" t="inlineStr">
        <is>
          <t>직접 입력 연습: 초록칸을 채우기</t>
        </is>
      </c>
    </row>
    <row r="23">
      <c r="A23" s="5" t="inlineStr">
        <is>
          <t>연</t>
        </is>
      </c>
      <c r="B23" s="5" t="inlineStr">
        <is>
          <t>월</t>
        </is>
      </c>
      <c r="C23" s="5" t="inlineStr">
        <is>
          <t>일</t>
        </is>
      </c>
      <c r="D23" s="5" t="inlineStr">
        <is>
          <t>조립한 날짜</t>
        </is>
      </c>
      <c r="E23" s="5" t="inlineStr">
        <is>
          <t>출근</t>
        </is>
      </c>
      <c r="F23" s="5" t="inlineStr">
        <is>
          <t>퇴근</t>
        </is>
      </c>
      <c r="G23" s="5" t="inlineStr">
        <is>
          <t>근무시간</t>
        </is>
      </c>
      <c r="H23" s="5" t="inlineStr">
        <is>
          <t>문제</t>
        </is>
      </c>
    </row>
    <row r="24">
      <c r="A24" s="6" t="n">
        <v>2026</v>
      </c>
      <c r="B24" s="6" t="n">
        <v>7</v>
      </c>
      <c r="C24" s="6" t="n">
        <v>20</v>
      </c>
      <c r="D24" s="35" t="n"/>
      <c r="E24" s="28" t="n">
        <v>0.375</v>
      </c>
      <c r="F24" s="28" t="n">
        <v>0.75</v>
      </c>
      <c r="G24" s="31" t="n"/>
      <c r="H24" s="6" t="inlineStr">
        <is>
          <t>D는 DATE, G는 (퇴근-출근)*24</t>
        </is>
      </c>
    </row>
    <row r="25">
      <c r="A25" s="8" t="n">
        <v>2026</v>
      </c>
      <c r="B25" s="8" t="n">
        <v>9</v>
      </c>
      <c r="C25" s="8" t="n">
        <v>3</v>
      </c>
      <c r="D25" s="35" t="n"/>
      <c r="E25" s="19" t="n">
        <v>0.3541666666666667</v>
      </c>
      <c r="F25" s="19" t="n">
        <v>0.7291666666666666</v>
      </c>
      <c r="G25" s="31" t="n"/>
      <c r="H25" s="8" t="inlineStr">
        <is>
          <t>24행 수식을 아래로 복사</t>
        </is>
      </c>
    </row>
    <row r="26">
      <c r="A26" s="6" t="n">
        <v>2027</v>
      </c>
      <c r="B26" s="6" t="n">
        <v>1</v>
      </c>
      <c r="C26" s="6" t="n">
        <v>1</v>
      </c>
      <c r="D26" s="35" t="n"/>
      <c r="E26" s="28" t="n">
        <v>0.4166666666666667</v>
      </c>
      <c r="F26" s="28" t="n">
        <v>0.6875</v>
      </c>
      <c r="G26" s="31" t="n"/>
      <c r="H26" s="6" t="inlineStr">
        <is>
          <t>24행 수식을 아래로 복사</t>
        </is>
      </c>
    </row>
  </sheetData>
  <mergeCells count="15">
    <mergeCell ref="A9:H9"/>
    <mergeCell ref="A4:H4"/>
    <mergeCell ref="E6:F7"/>
    <mergeCell ref="C6:D7"/>
    <mergeCell ref="G6:H7"/>
    <mergeCell ref="A2:H2"/>
    <mergeCell ref="C11:D12"/>
    <mergeCell ref="A11:B12"/>
    <mergeCell ref="A6:B7"/>
    <mergeCell ref="E11:F12"/>
    <mergeCell ref="G11:H12"/>
    <mergeCell ref="A14:H14"/>
    <mergeCell ref="A19:H20"/>
    <mergeCell ref="A1:H1"/>
    <mergeCell ref="A22:H22"/>
  </mergeCells>
  <pageMargins left="0.3" right="0.3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2" customWidth="1" min="7" max="7"/>
    <col width="30" customWidth="1" min="8" max="8"/>
  </cols>
  <sheetData>
    <row r="1" ht="28" customHeight="1">
      <c r="A1" s="9" t="inlineStr">
        <is>
          <t>3교시. 무슨 요일인지, 며칠 걸렸는지 구하기</t>
        </is>
      </c>
    </row>
    <row r="2" ht="28" customHeight="1">
      <c r="A2" s="2" t="inlineStr">
        <is>
          <t>처음에는 공식 두 개만 따라 하세요. 어려운 말은 나중에 봐도 됩니다.</t>
        </is>
      </c>
    </row>
    <row r="3"/>
    <row r="4">
      <c r="A4" s="3" t="inlineStr">
        <is>
          <t>오늘 배울 것은 딱 두 개입니다.
1. 무슨 요일인지 숫자로 표시하기: =WEEKDAY(날짜,2)  /  2. 며칠 차이인지 구하기: =끝나는날-시작하는날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/>
    <row r="7" ht="22" customHeight="1">
      <c r="A7" s="10" t="inlineStr">
        <is>
          <t>1. 무슨 요일인가? 처음에는 이것 하나만 따라 쓰기</t>
        </is>
      </c>
    </row>
    <row r="8"/>
    <row r="9">
      <c r="A9" s="22" t="inlineStr">
        <is>
          <t>날짜가 C38에 있다면
=WEEKDAY(C38,2)</t>
        </is>
      </c>
      <c r="E9" s="41" t="inlineStr">
        <is>
          <t>뒤의 2는 이렇게 약속한다는 뜻
월=1, 화=2, 수=3, 목=4, 금=5, 토=6, 일=7</t>
        </is>
      </c>
    </row>
    <row r="10"/>
    <row r="11"/>
    <row r="12">
      <c r="A12" s="3" t="inlineStr">
        <is>
          <t>왜 요일 이름 대신 숫자가 나오나요?
시험 문제에서 '월요일은 1, 화요일은 2처럼 표시하시오'라고 시키기 때문입니다. 일단 =WEEKDAY(날짜셀,2)를 그대로 따라 쓰면 됩니다.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/>
    <row r="15" ht="22" customHeight="1">
      <c r="A15" s="10" t="inlineStr">
        <is>
          <t>참고: 시험 문제가 다르게 시킬 때만 아래 표 보기</t>
        </is>
      </c>
    </row>
    <row r="16">
      <c r="A16" s="5" t="inlineStr">
        <is>
          <t>문제의 말</t>
        </is>
      </c>
      <c r="B16" s="5" t="inlineStr">
        <is>
          <t>월</t>
        </is>
      </c>
      <c r="C16" s="5" t="inlineStr">
        <is>
          <t>화</t>
        </is>
      </c>
      <c r="D16" s="5" t="inlineStr">
        <is>
          <t>수</t>
        </is>
      </c>
      <c r="E16" s="5" t="inlineStr">
        <is>
          <t>목</t>
        </is>
      </c>
      <c r="F16" s="5" t="inlineStr">
        <is>
          <t>금</t>
        </is>
      </c>
      <c r="G16" s="5" t="inlineStr">
        <is>
          <t>토</t>
        </is>
      </c>
      <c r="H16" s="5" t="inlineStr">
        <is>
          <t>일</t>
        </is>
      </c>
    </row>
    <row r="17">
      <c r="A17" s="21" t="inlineStr">
        <is>
          <t>월요일을 1로 표시</t>
        </is>
      </c>
      <c r="B17" s="6" t="n">
        <v>1</v>
      </c>
      <c r="C17" s="6" t="n">
        <v>2</v>
      </c>
      <c r="D17" s="6" t="n">
        <v>3</v>
      </c>
      <c r="E17" s="6" t="n">
        <v>4</v>
      </c>
      <c r="F17" s="6" t="n">
        <v>5</v>
      </c>
      <c r="G17" s="6" t="n">
        <v>6</v>
      </c>
      <c r="H17" s="6" t="n">
        <v>7</v>
      </c>
    </row>
    <row r="18">
      <c r="A18" s="21" t="inlineStr">
        <is>
          <t>일요일을 1로 표시</t>
        </is>
      </c>
      <c r="B18" s="8" t="n">
        <v>2</v>
      </c>
      <c r="C18" s="8" t="n">
        <v>3</v>
      </c>
      <c r="D18" s="8" t="n">
        <v>4</v>
      </c>
      <c r="E18" s="8" t="n">
        <v>5</v>
      </c>
      <c r="F18" s="8" t="n">
        <v>6</v>
      </c>
      <c r="G18" s="8" t="n">
        <v>7</v>
      </c>
      <c r="H18" s="8" t="n">
        <v>1</v>
      </c>
    </row>
    <row r="19"/>
    <row r="20">
      <c r="A20" s="3" t="inlineStr">
        <is>
          <t>일요일을 1로 하라고 할 때만 =WEEKDAY(날짜셀,1)을 사용합니다. 문제에 특별한 말이 없다면 기본 수업에서는 월요일=1 방식부터 연습합니다.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/>
    <row r="23" ht="22" customHeight="1">
      <c r="A23" s="10" t="inlineStr">
        <is>
          <t>2. 며칠 걸렸나? 끝나는 날에서 시작하는 날 빼기</t>
        </is>
      </c>
    </row>
    <row r="24"/>
    <row r="25">
      <c r="A25" s="22" t="inlineStr">
        <is>
          <t>6월 1일
시작</t>
        </is>
      </c>
      <c r="C25" s="42" t="inlineStr">
        <is>
          <t>→ 9일 지남 →
=끝나는날-시작하는날</t>
        </is>
      </c>
      <c r="G25" s="24" t="inlineStr">
        <is>
          <t>6월 10일
끝</t>
        </is>
      </c>
    </row>
    <row r="26"/>
    <row r="27"/>
    <row r="28">
      <c r="A28" s="3" t="inlineStr">
        <is>
          <t>예: 시작일이 B32, 종료일이 C32라면 =C32-B32
주의: 시작일과 종료일을 모두 날짜 수에 포함하라고 하면 마지막에 +1을 붙입니다.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/>
    <row r="31" ht="22" customHeight="1">
      <c r="A31" s="10" t="inlineStr">
        <is>
          <t>3. 완성 예제를 보고 그대로 따라 하기</t>
        </is>
      </c>
    </row>
    <row r="32">
      <c r="A32" s="5" t="inlineStr">
        <is>
          <t>업무</t>
        </is>
      </c>
      <c r="B32" s="5" t="inlineStr">
        <is>
          <t>시작일</t>
        </is>
      </c>
      <c r="C32" s="5" t="inlineStr">
        <is>
          <t>종료일</t>
        </is>
      </c>
      <c r="D32" s="5" t="inlineStr">
        <is>
          <t>며칠 걸림</t>
        </is>
      </c>
      <c r="E32" s="5" t="inlineStr">
        <is>
          <t>끝나는 날 요일</t>
        </is>
      </c>
      <c r="F32" s="5" t="inlineStr">
        <is>
          <t>일수 공식</t>
        </is>
      </c>
      <c r="G32" s="5" t="inlineStr">
        <is>
          <t>요일 공식</t>
        </is>
      </c>
      <c r="H32" s="5" t="inlineStr">
        <is>
          <t>읽는 순서</t>
        </is>
      </c>
    </row>
    <row r="33">
      <c r="A33" s="6" t="inlineStr">
        <is>
          <t>교육</t>
        </is>
      </c>
      <c r="B33" s="25" t="n">
        <v>46174</v>
      </c>
      <c r="C33" s="25" t="n">
        <v>46183</v>
      </c>
      <c r="D33" s="17">
        <f>C33-B33</f>
        <v/>
      </c>
      <c r="E33" s="17">
        <f>WEEKDAY(C33,2)</f>
        <v/>
      </c>
      <c r="F33" s="6">
        <f>C33-B33</f>
        <v/>
      </c>
      <c r="G33" s="6">
        <f>WEEKDAY(C33,2)</f>
        <v/>
      </c>
      <c r="H33" s="6" t="inlineStr">
        <is>
          <t>끝-시작 / 끝나는 날의 요일</t>
        </is>
      </c>
    </row>
    <row r="34">
      <c r="A34" s="8" t="inlineStr">
        <is>
          <t>점검</t>
        </is>
      </c>
      <c r="B34" s="26" t="n">
        <v>46216</v>
      </c>
      <c r="C34" s="26" t="n">
        <v>46220</v>
      </c>
      <c r="D34" s="17">
        <f>C34-B34</f>
        <v/>
      </c>
      <c r="E34" s="17">
        <f>WEEKDAY(C34,2)</f>
        <v/>
      </c>
      <c r="F34" s="8">
        <f>C34-B34</f>
        <v/>
      </c>
      <c r="G34" s="8">
        <f>WEEKDAY(C34,2)</f>
        <v/>
      </c>
      <c r="H34" s="8" t="inlineStr">
        <is>
          <t>첫 줄을 만든 뒤 아래로 복사</t>
        </is>
      </c>
    </row>
    <row r="35"/>
    <row r="36" ht="22" customHeight="1">
      <c r="A36" s="10" t="inlineStr">
        <is>
          <t>4. 직접 입력: 초록칸 두 개부터 채우기</t>
        </is>
      </c>
    </row>
    <row r="37">
      <c r="A37" s="5" t="inlineStr">
        <is>
          <t>계약</t>
        </is>
      </c>
      <c r="B37" s="5" t="inlineStr">
        <is>
          <t>시작일</t>
        </is>
      </c>
      <c r="C37" s="5" t="inlineStr">
        <is>
          <t>종료일</t>
        </is>
      </c>
      <c r="D37" s="5" t="inlineStr">
        <is>
          <t>며칠 걸림</t>
        </is>
      </c>
      <c r="E37" s="5" t="inlineStr">
        <is>
          <t>끝나는 날 요일</t>
        </is>
      </c>
      <c r="F37" s="5" t="inlineStr">
        <is>
          <t>끝나는 달</t>
        </is>
      </c>
      <c r="G37" s="5" t="inlineStr">
        <is>
          <t>끝나는 날짜</t>
        </is>
      </c>
      <c r="H37" s="5" t="inlineStr">
        <is>
          <t>처음 할 일</t>
        </is>
      </c>
    </row>
    <row r="38">
      <c r="A38" s="6" t="inlineStr">
        <is>
          <t>A-101</t>
        </is>
      </c>
      <c r="B38" s="25" t="n">
        <v>46237</v>
      </c>
      <c r="C38" s="25" t="n">
        <v>46262</v>
      </c>
      <c r="D38" s="7" t="n"/>
      <c r="E38" s="7" t="n"/>
      <c r="F38" s="7" t="n"/>
      <c r="G38" s="7" t="n"/>
      <c r="H38" s="6" t="inlineStr">
        <is>
          <t>먼저 D38에 =C38-B38</t>
        </is>
      </c>
    </row>
    <row r="39">
      <c r="A39" s="8" t="inlineStr">
        <is>
          <t>A-102</t>
        </is>
      </c>
      <c r="B39" s="26" t="n">
        <v>46279</v>
      </c>
      <c r="C39" s="26" t="n">
        <v>46297</v>
      </c>
      <c r="D39" s="7" t="n"/>
      <c r="E39" s="7" t="n"/>
      <c r="F39" s="7" t="n"/>
      <c r="G39" s="7" t="n"/>
      <c r="H39" s="8" t="inlineStr">
        <is>
          <t>다음 E38에 =WEEKDAY(C38,2)</t>
        </is>
      </c>
    </row>
    <row r="40">
      <c r="A40" s="6" t="inlineStr">
        <is>
          <t>A-103</t>
        </is>
      </c>
      <c r="B40" s="25" t="n">
        <v>46328</v>
      </c>
      <c r="C40" s="25" t="n">
        <v>46356</v>
      </c>
      <c r="D40" s="7" t="n"/>
      <c r="E40" s="7" t="n"/>
      <c r="F40" s="7" t="n"/>
      <c r="G40" s="7" t="n"/>
      <c r="H40" s="6" t="inlineStr">
        <is>
          <t>F38은 =MONTH(C38), G38은 =DAY(C38)</t>
        </is>
      </c>
    </row>
    <row r="41"/>
    <row r="42">
      <c r="A42" s="3" t="inlineStr">
        <is>
          <t>막히면 한 번에 네 칸을 풀지 마세요.
D38 하나만 입력 → 값이 나오면 E38 입력 → F38 입력 → G38 입력 → 마지막에 아래로 복사합니다.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</sheetData>
  <mergeCells count="17">
    <mergeCell ref="A12:H13"/>
    <mergeCell ref="A4:H5"/>
    <mergeCell ref="A28:H29"/>
    <mergeCell ref="A9:D10"/>
    <mergeCell ref="A15:H15"/>
    <mergeCell ref="A7:H7"/>
    <mergeCell ref="E9:H10"/>
    <mergeCell ref="C25:F26"/>
    <mergeCell ref="A42:H43"/>
    <mergeCell ref="A2:H2"/>
    <mergeCell ref="A20:H21"/>
    <mergeCell ref="G25:H26"/>
    <mergeCell ref="A36:H36"/>
    <mergeCell ref="A1:H1"/>
    <mergeCell ref="A23:H23"/>
    <mergeCell ref="A31:H31"/>
    <mergeCell ref="A25:B26"/>
  </mergeCells>
  <pageMargins left="0.3" right="0.3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2" customWidth="1" min="7" max="7"/>
    <col width="28" customWidth="1" min="8" max="8"/>
  </cols>
  <sheetData>
    <row r="1" ht="28" customHeight="1">
      <c r="A1" s="9" t="inlineStr">
        <is>
          <t>4교시. 주말을 건너뛰고, 몇 개월 뒤와 월말 찾기</t>
        </is>
      </c>
    </row>
    <row r="2" ht="28" customHeight="1">
      <c r="A2" s="2" t="inlineStr">
        <is>
          <t>WORKDAY, EDATE, EOMONTH를 납기일과 만기일 문제에 연결합니다.</t>
        </is>
      </c>
    </row>
    <row r="3"/>
    <row r="4" ht="22" customHeight="1">
      <c r="A4" s="10" t="inlineStr">
        <is>
          <t>그림. 함수 세 개를 상황별로 고르기</t>
        </is>
      </c>
    </row>
    <row r="5"/>
    <row r="6">
      <c r="A6" s="22" t="inlineStr">
        <is>
          <t>WORKDAY
주말을 건너뜀
납기일</t>
        </is>
      </c>
      <c r="D6" s="24" t="inlineStr">
        <is>
          <t>EDATE
몇 개월 뒤
만기일</t>
        </is>
      </c>
      <c r="G6" s="42" t="inlineStr">
        <is>
          <t>EOMONTH
해당 월의 마지막 날
월말</t>
        </is>
      </c>
    </row>
    <row r="7"/>
    <row r="8"/>
    <row r="9"/>
    <row r="10">
      <c r="A10" s="3" t="inlineStr">
        <is>
          <t>외우는 문장
WORKDAY는 주말을 피해 걷는다. EDATE는 달력에서 몇 장 넘긴다. EOMONTH는 넘긴 달력의 맨 끝 칸으로 간다.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/>
    <row r="13" ht="22" customHeight="1">
      <c r="A13" s="10" t="inlineStr">
        <is>
          <t>따라 쓰는 예제</t>
        </is>
      </c>
    </row>
    <row r="14">
      <c r="A14" s="5" t="inlineStr">
        <is>
          <t>업무</t>
        </is>
      </c>
      <c r="B14" s="5" t="inlineStr">
        <is>
          <t>기준일</t>
        </is>
      </c>
      <c r="C14" s="5" t="inlineStr">
        <is>
          <t>근무일수</t>
        </is>
      </c>
      <c r="D14" s="5" t="inlineStr">
        <is>
          <t>개월수</t>
        </is>
      </c>
      <c r="E14" s="5" t="inlineStr">
        <is>
          <t>납기일</t>
        </is>
      </c>
      <c r="F14" s="5" t="inlineStr">
        <is>
          <t>몇개월뒤</t>
        </is>
      </c>
      <c r="G14" s="5" t="inlineStr">
        <is>
          <t>해당월말</t>
        </is>
      </c>
      <c r="H14" s="5" t="inlineStr">
        <is>
          <t>설명</t>
        </is>
      </c>
    </row>
    <row r="15">
      <c r="A15" s="6" t="inlineStr">
        <is>
          <t>디자인</t>
        </is>
      </c>
      <c r="B15" s="25" t="n">
        <v>46178</v>
      </c>
      <c r="C15" s="6" t="n">
        <v>5</v>
      </c>
      <c r="D15" s="6" t="n">
        <v>3</v>
      </c>
      <c r="E15" s="34">
        <f>WORKDAY(B15,C15)</f>
        <v/>
      </c>
      <c r="F15" s="34">
        <f>EDATE(B15,D15)</f>
        <v/>
      </c>
      <c r="G15" s="34">
        <f>EOMONTH(B15,D15)</f>
        <v/>
      </c>
      <c r="H15" s="6" t="inlineStr">
        <is>
          <t>휴일 목록이 없으면 주말만 제외</t>
        </is>
      </c>
    </row>
    <row r="16">
      <c r="A16" s="8" t="inlineStr">
        <is>
          <t>검수</t>
        </is>
      </c>
      <c r="B16" s="26" t="n">
        <v>46353</v>
      </c>
      <c r="C16" s="8" t="n">
        <v>4</v>
      </c>
      <c r="D16" s="8" t="n">
        <v>1</v>
      </c>
      <c r="E16" s="34">
        <f>WORKDAY(B16,C16)</f>
        <v/>
      </c>
      <c r="F16" s="34">
        <f>EDATE(B16,D16)</f>
        <v/>
      </c>
      <c r="G16" s="34">
        <f>EOMONTH(B16,D16)</f>
        <v/>
      </c>
      <c r="H16" s="8" t="inlineStr">
        <is>
          <t>아래로 복사</t>
        </is>
      </c>
    </row>
    <row r="17"/>
    <row r="18">
      <c r="A18" s="3" t="inlineStr">
        <is>
          <t>조금 더 실전처럼
휴일 목록까지 제외하라는 문제라면 =WORKDAY(기준일, 근무일수, 휴일범위)처럼 세 번째 인수를 넣습니다.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/>
    <row r="21" ht="22" customHeight="1">
      <c r="A21" s="10" t="inlineStr">
        <is>
          <t>직접 입력 연습: 초록칸을 채우기</t>
        </is>
      </c>
    </row>
    <row r="22">
      <c r="A22" s="5" t="inlineStr">
        <is>
          <t>주문</t>
        </is>
      </c>
      <c r="B22" s="5" t="inlineStr">
        <is>
          <t>주문일</t>
        </is>
      </c>
      <c r="C22" s="5" t="inlineStr">
        <is>
          <t>작업일</t>
        </is>
      </c>
      <c r="D22" s="5" t="inlineStr">
        <is>
          <t>개월</t>
        </is>
      </c>
      <c r="E22" s="5" t="inlineStr">
        <is>
          <t>납기일</t>
        </is>
      </c>
      <c r="F22" s="5" t="inlineStr">
        <is>
          <t>보증만료일</t>
        </is>
      </c>
      <c r="G22" s="5" t="inlineStr">
        <is>
          <t>만료월말</t>
        </is>
      </c>
      <c r="H22" s="5" t="inlineStr">
        <is>
          <t>문제</t>
        </is>
      </c>
    </row>
    <row r="23">
      <c r="A23" s="6" t="inlineStr">
        <is>
          <t>O-201</t>
        </is>
      </c>
      <c r="B23" s="25" t="n">
        <v>46185</v>
      </c>
      <c r="C23" s="6" t="n">
        <v>7</v>
      </c>
      <c r="D23" s="6" t="n">
        <v>6</v>
      </c>
      <c r="E23" s="35" t="n"/>
      <c r="F23" s="35" t="n"/>
      <c r="G23" s="35" t="n"/>
      <c r="H23" s="6" t="inlineStr">
        <is>
          <t>E는 WORKDAY, F는 EDATE, G는 EOMONTH(F,0)</t>
        </is>
      </c>
    </row>
    <row r="24">
      <c r="A24" s="8" t="inlineStr">
        <is>
          <t>O-202</t>
        </is>
      </c>
      <c r="B24" s="26" t="n">
        <v>46262</v>
      </c>
      <c r="C24" s="8" t="n">
        <v>3</v>
      </c>
      <c r="D24" s="8" t="n">
        <v>12</v>
      </c>
      <c r="E24" s="35" t="n"/>
      <c r="F24" s="35" t="n"/>
      <c r="G24" s="35" t="n"/>
      <c r="H24" s="8" t="inlineStr">
        <is>
          <t>23행 수식을 아래로 복사</t>
        </is>
      </c>
    </row>
    <row r="25">
      <c r="A25" s="6" t="inlineStr">
        <is>
          <t>O-203</t>
        </is>
      </c>
      <c r="B25" s="25" t="n">
        <v>46380</v>
      </c>
      <c r="C25" s="6" t="n">
        <v>5</v>
      </c>
      <c r="D25" s="6" t="n">
        <v>3</v>
      </c>
      <c r="E25" s="35" t="n"/>
      <c r="F25" s="35" t="n"/>
      <c r="G25" s="35" t="n"/>
      <c r="H25" s="6" t="inlineStr">
        <is>
          <t>23행 수식을 아래로 복사</t>
        </is>
      </c>
    </row>
  </sheetData>
  <mergeCells count="10">
    <mergeCell ref="A4:H4"/>
    <mergeCell ref="A21:H21"/>
    <mergeCell ref="A2:H2"/>
    <mergeCell ref="G6:H8"/>
    <mergeCell ref="A10:H11"/>
    <mergeCell ref="A6:B8"/>
    <mergeCell ref="A13:H13"/>
    <mergeCell ref="D6:E8"/>
    <mergeCell ref="A18:H19"/>
    <mergeCell ref="A1:H1"/>
  </mergeCells>
  <pageMargins left="0.3" right="0.3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32" customWidth="1" min="11" max="11"/>
  </cols>
  <sheetData>
    <row r="1" ht="28" customHeight="1">
      <c r="A1" s="9" t="inlineStr">
        <is>
          <t>실전연습. 컴활 2급 실기형 날짜·시간 함수</t>
        </is>
      </c>
    </row>
    <row r="2" ht="28" customHeight="1">
      <c r="A2" s="2" t="inlineStr">
        <is>
          <t>초록칸에 수식을 직접 입력하고 아래로 복사합니다. 문제 문장에서 단서를 먼저 동그라미 치세요.</t>
        </is>
      </c>
    </row>
    <row r="3"/>
    <row r="4">
      <c r="A4" s="3" t="inlineStr">
        <is>
          <t>시험 풀이 순서
1. 결과 칸이 무엇을 원하는지 읽기 → 2. 날짜를 꺼낼지, 만들지, 거리를 잴지 결정 → 3. 첫 행에 수식 입력 → 4. 채우기 핸들로 아래 행 복사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/>
    <row r="7" ht="22" customHeight="1">
      <c r="A7" s="10" t="inlineStr">
        <is>
          <t>세트 A. 회원 관리표</t>
        </is>
      </c>
    </row>
    <row r="8">
      <c r="A8" s="5" t="inlineStr">
        <is>
          <t>회원번호</t>
        </is>
      </c>
      <c r="B8" s="5" t="inlineStr">
        <is>
          <t>가입일</t>
        </is>
      </c>
      <c r="C8" s="5" t="inlineStr">
        <is>
          <t>생년월일</t>
        </is>
      </c>
      <c r="D8" s="5" t="inlineStr">
        <is>
          <t>개월</t>
        </is>
      </c>
      <c r="E8" s="5" t="inlineStr">
        <is>
          <t>가입연도</t>
        </is>
      </c>
      <c r="F8" s="5" t="inlineStr">
        <is>
          <t>가입월</t>
        </is>
      </c>
      <c r="G8" s="5" t="inlineStr">
        <is>
          <t>생년</t>
        </is>
      </c>
      <c r="H8" s="5" t="inlineStr">
        <is>
          <t>개월후</t>
        </is>
      </c>
      <c r="I8" s="5" t="inlineStr">
        <is>
          <t>개월후월말</t>
        </is>
      </c>
      <c r="J8" s="5" t="inlineStr">
        <is>
          <t>가입요일(월=1)</t>
        </is>
      </c>
      <c r="K8" s="5" t="inlineStr">
        <is>
          <t>문제</t>
        </is>
      </c>
    </row>
    <row r="9">
      <c r="A9" s="6" t="inlineStr">
        <is>
          <t>M-001</t>
        </is>
      </c>
      <c r="B9" s="25" t="n">
        <v>45308</v>
      </c>
      <c r="C9" s="25" t="n">
        <v>34821</v>
      </c>
      <c r="D9" s="6" t="n">
        <v>6</v>
      </c>
      <c r="E9" s="7" t="n"/>
      <c r="F9" s="7" t="n"/>
      <c r="G9" s="7" t="n"/>
      <c r="H9" s="35" t="n"/>
      <c r="I9" s="35" t="n"/>
      <c r="J9" s="7" t="n"/>
      <c r="K9" s="6" t="inlineStr">
        <is>
          <t>E:J열 수식 작성</t>
        </is>
      </c>
    </row>
    <row r="10">
      <c r="A10" s="8" t="inlineStr">
        <is>
          <t>M-002</t>
        </is>
      </c>
      <c r="B10" s="26" t="n">
        <v>45989</v>
      </c>
      <c r="C10" s="26" t="n">
        <v>37249</v>
      </c>
      <c r="D10" s="8" t="n">
        <v>12</v>
      </c>
      <c r="E10" s="7" t="n"/>
      <c r="F10" s="7" t="n"/>
      <c r="G10" s="7" t="n"/>
      <c r="H10" s="35" t="n"/>
      <c r="I10" s="35" t="n"/>
      <c r="J10" s="7" t="n"/>
      <c r="K10" s="8" t="inlineStr">
        <is>
          <t>9행 수식 아래 복사</t>
        </is>
      </c>
    </row>
    <row r="11">
      <c r="A11" s="6" t="inlineStr">
        <is>
          <t>M-003</t>
        </is>
      </c>
      <c r="B11" s="25" t="n">
        <v>46090</v>
      </c>
      <c r="C11" s="25" t="n">
        <v>32335</v>
      </c>
      <c r="D11" s="6" t="n">
        <v>3</v>
      </c>
      <c r="E11" s="7" t="n"/>
      <c r="F11" s="7" t="n"/>
      <c r="G11" s="7" t="n"/>
      <c r="H11" s="35" t="n"/>
      <c r="I11" s="35" t="n"/>
      <c r="J11" s="7" t="n"/>
      <c r="K11" s="6" t="inlineStr">
        <is>
          <t>9행 수식 아래 복사</t>
        </is>
      </c>
    </row>
    <row r="12">
      <c r="A12" s="8" t="inlineStr">
        <is>
          <t>M-004</t>
        </is>
      </c>
      <c r="B12" s="26" t="n">
        <v>46167</v>
      </c>
      <c r="C12" s="26" t="n">
        <v>36436</v>
      </c>
      <c r="D12" s="8" t="n">
        <v>1</v>
      </c>
      <c r="E12" s="7" t="n"/>
      <c r="F12" s="7" t="n"/>
      <c r="G12" s="7" t="n"/>
      <c r="H12" s="35" t="n"/>
      <c r="I12" s="35" t="n"/>
      <c r="J12" s="7" t="n"/>
      <c r="K12" s="8" t="inlineStr">
        <is>
          <t>9행 수식 아래 복사</t>
        </is>
      </c>
    </row>
    <row r="13"/>
    <row r="14"/>
    <row r="15" ht="22" customHeight="1">
      <c r="A15" s="10" t="inlineStr">
        <is>
          <t>세트 B. 주문 납기표</t>
        </is>
      </c>
    </row>
    <row r="16">
      <c r="A16" s="5" t="inlineStr">
        <is>
          <t>주문번호</t>
        </is>
      </c>
      <c r="B16" s="5" t="inlineStr">
        <is>
          <t>주문일</t>
        </is>
      </c>
      <c r="C16" s="5" t="inlineStr">
        <is>
          <t>작업일</t>
        </is>
      </c>
      <c r="D16" s="5" t="inlineStr">
        <is>
          <t>출근</t>
        </is>
      </c>
      <c r="E16" s="5" t="inlineStr">
        <is>
          <t>퇴근</t>
        </is>
      </c>
      <c r="F16" s="5" t="inlineStr">
        <is>
          <t>납기일</t>
        </is>
      </c>
      <c r="G16" s="5" t="inlineStr">
        <is>
          <t>근무시간</t>
        </is>
      </c>
      <c r="H16" s="5" t="inlineStr">
        <is>
          <t>납기연도</t>
        </is>
      </c>
      <c r="I16" s="5" t="inlineStr">
        <is>
          <t>납기월</t>
        </is>
      </c>
      <c r="J16" s="5" t="inlineStr">
        <is>
          <t>납기일자</t>
        </is>
      </c>
      <c r="K16" s="5" t="inlineStr">
        <is>
          <t>문제</t>
        </is>
      </c>
    </row>
    <row r="17">
      <c r="A17" s="6" t="inlineStr">
        <is>
          <t>P-101</t>
        </is>
      </c>
      <c r="B17" s="25" t="n">
        <v>46178</v>
      </c>
      <c r="C17" s="6" t="n">
        <v>5</v>
      </c>
      <c r="D17" s="28" t="n">
        <v>0.375</v>
      </c>
      <c r="E17" s="28" t="n">
        <v>0.7291666666666666</v>
      </c>
      <c r="F17" s="35" t="n"/>
      <c r="G17" s="31" t="n"/>
      <c r="H17" s="7" t="n"/>
      <c r="I17" s="7" t="n"/>
      <c r="J17" s="7" t="n"/>
      <c r="K17" s="6" t="inlineStr">
        <is>
          <t>F:J열 수식 작성</t>
        </is>
      </c>
    </row>
    <row r="18">
      <c r="A18" s="8" t="inlineStr">
        <is>
          <t>P-102</t>
        </is>
      </c>
      <c r="B18" s="26" t="n">
        <v>46220</v>
      </c>
      <c r="C18" s="8" t="n">
        <v>7</v>
      </c>
      <c r="D18" s="19" t="n">
        <v>0.3541666666666667</v>
      </c>
      <c r="E18" s="19" t="n">
        <v>0.75</v>
      </c>
      <c r="F18" s="35" t="n"/>
      <c r="G18" s="31" t="n"/>
      <c r="H18" s="7" t="n"/>
      <c r="I18" s="7" t="n"/>
      <c r="J18" s="7" t="n"/>
      <c r="K18" s="8" t="inlineStr">
        <is>
          <t>17행 수식 아래 복사</t>
        </is>
      </c>
    </row>
    <row r="19">
      <c r="A19" s="6" t="inlineStr">
        <is>
          <t>P-103</t>
        </is>
      </c>
      <c r="B19" s="25" t="n">
        <v>46290</v>
      </c>
      <c r="C19" s="6" t="n">
        <v>3</v>
      </c>
      <c r="D19" s="28" t="n">
        <v>0.4166666666666667</v>
      </c>
      <c r="E19" s="28" t="n">
        <v>0.6666666666666666</v>
      </c>
      <c r="F19" s="35" t="n"/>
      <c r="G19" s="31" t="n"/>
      <c r="H19" s="7" t="n"/>
      <c r="I19" s="7" t="n"/>
      <c r="J19" s="7" t="n"/>
      <c r="K19" s="6" t="inlineStr">
        <is>
          <t>17행 수식 아래 복사</t>
        </is>
      </c>
    </row>
    <row r="20">
      <c r="A20" s="8" t="inlineStr">
        <is>
          <t>P-104</t>
        </is>
      </c>
      <c r="B20" s="26" t="n">
        <v>46380</v>
      </c>
      <c r="C20" s="8" t="n">
        <v>4</v>
      </c>
      <c r="D20" s="19" t="n">
        <v>0.3958333333333333</v>
      </c>
      <c r="E20" s="19" t="n">
        <v>0.7708333333333334</v>
      </c>
      <c r="F20" s="35" t="n"/>
      <c r="G20" s="31" t="n"/>
      <c r="H20" s="7" t="n"/>
      <c r="I20" s="7" t="n"/>
      <c r="J20" s="7" t="n"/>
      <c r="K20" s="8" t="inlineStr">
        <is>
          <t>17행 수식 아래 복사</t>
        </is>
      </c>
    </row>
    <row r="21"/>
    <row r="22"/>
    <row r="23" ht="22" customHeight="1">
      <c r="A23" s="10" t="inlineStr">
        <is>
          <t>세트 C. 계약 관리표</t>
        </is>
      </c>
    </row>
    <row r="24">
      <c r="A24" s="5" t="inlineStr">
        <is>
          <t>계약번호</t>
        </is>
      </c>
      <c r="B24" s="5" t="inlineStr">
        <is>
          <t>시작일</t>
        </is>
      </c>
      <c r="C24" s="5" t="inlineStr">
        <is>
          <t>종료일</t>
        </is>
      </c>
      <c r="D24" s="5" t="inlineStr">
        <is>
          <t>기간</t>
        </is>
      </c>
      <c r="E24" s="5" t="inlineStr">
        <is>
          <t>종료요일(일=1)</t>
        </is>
      </c>
      <c r="F24" s="5" t="inlineStr">
        <is>
          <t>현재일</t>
        </is>
      </c>
      <c r="G24" s="5" t="inlineStr">
        <is>
          <t>현재시각</t>
        </is>
      </c>
      <c r="H24" s="5" t="inlineStr">
        <is>
          <t>종료월말</t>
        </is>
      </c>
      <c r="I24" s="5" t="inlineStr">
        <is>
          <t>종료연도</t>
        </is>
      </c>
      <c r="J24" s="5" t="inlineStr">
        <is>
          <t>종료월</t>
        </is>
      </c>
      <c r="K24" s="5" t="inlineStr">
        <is>
          <t>문제</t>
        </is>
      </c>
    </row>
    <row r="25">
      <c r="A25" s="6" t="inlineStr">
        <is>
          <t>C-01</t>
        </is>
      </c>
      <c r="B25" s="25" t="n">
        <v>46024</v>
      </c>
      <c r="C25" s="25" t="n">
        <v>46203</v>
      </c>
      <c r="D25" s="7" t="n"/>
      <c r="E25" s="7" t="n"/>
      <c r="F25" s="35" t="n"/>
      <c r="G25" s="43" t="n"/>
      <c r="H25" s="35" t="n"/>
      <c r="I25" s="7" t="n"/>
      <c r="J25" s="7" t="n"/>
      <c r="K25" s="6" t="inlineStr">
        <is>
          <t>D:J열 수식 작성</t>
        </is>
      </c>
    </row>
    <row r="26">
      <c r="A26" s="8" t="inlineStr">
        <is>
          <t>C-02</t>
        </is>
      </c>
      <c r="B26" s="26" t="n">
        <v>46069</v>
      </c>
      <c r="C26" s="26" t="n">
        <v>46248</v>
      </c>
      <c r="D26" s="7" t="n"/>
      <c r="E26" s="7" t="n"/>
      <c r="F26" s="35" t="n"/>
      <c r="G26" s="43" t="n"/>
      <c r="H26" s="35" t="n"/>
      <c r="I26" s="7" t="n"/>
      <c r="J26" s="7" t="n"/>
      <c r="K26" s="8" t="inlineStr">
        <is>
          <t>25행 수식 아래 복사</t>
        </is>
      </c>
    </row>
    <row r="27">
      <c r="A27" s="6" t="inlineStr">
        <is>
          <t>C-03</t>
        </is>
      </c>
      <c r="B27" s="25" t="n">
        <v>46153</v>
      </c>
      <c r="C27" s="25" t="n">
        <v>46374</v>
      </c>
      <c r="D27" s="7" t="n"/>
      <c r="E27" s="7" t="n"/>
      <c r="F27" s="35" t="n"/>
      <c r="G27" s="43" t="n"/>
      <c r="H27" s="35" t="n"/>
      <c r="I27" s="7" t="n"/>
      <c r="J27" s="7" t="n"/>
      <c r="K27" s="6" t="inlineStr">
        <is>
          <t>25행 수식 아래 복사</t>
        </is>
      </c>
    </row>
    <row r="28"/>
    <row r="29"/>
    <row r="30">
      <c r="A30" s="3" t="inlineStr">
        <is>
          <t>채점 기준
함수 이름, 인수 순서, 괄호, 쉼표를 확인합니다. 날짜 차이는 종료일-시작일 순서입니다. 초록칸 65개 중 52개 이상이면 다음 단원으로 이동하세요.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</sheetData>
  <mergeCells count="7">
    <mergeCell ref="A30:K31"/>
    <mergeCell ref="A4:K5"/>
    <mergeCell ref="A15:K15"/>
    <mergeCell ref="A7:K7"/>
    <mergeCell ref="A2:K2"/>
    <mergeCell ref="A1:K1"/>
    <mergeCell ref="A23:K23"/>
  </mergeCells>
  <pageMargins left="0.3" right="0.3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58" customWidth="1" min="4" max="4"/>
  </cols>
  <sheetData>
    <row r="1" ht="28" customHeight="1">
      <c r="A1" s="9" t="inlineStr">
        <is>
          <t>정답해설</t>
        </is>
      </c>
    </row>
    <row r="2" ht="28" customHeight="1">
      <c r="A2" s="2" t="inlineStr">
        <is>
          <t>학생 풀이 후 확인용입니다. 수식과 생각 순서를 같이 봅니다.</t>
        </is>
      </c>
    </row>
    <row r="3"/>
    <row r="4"/>
    <row r="5">
      <c r="A5" s="5" t="inlineStr">
        <is>
          <t>시트</t>
        </is>
      </c>
      <c r="B5" s="5" t="inlineStr">
        <is>
          <t>첫 입력 셀</t>
        </is>
      </c>
      <c r="C5" s="5" t="inlineStr">
        <is>
          <t>정답 수식</t>
        </is>
      </c>
      <c r="D5" s="5" t="inlineStr">
        <is>
          <t>왜 이렇게 쓰나?</t>
        </is>
      </c>
    </row>
    <row r="6">
      <c r="A6" s="6" t="inlineStr">
        <is>
          <t>0_기간계산공식</t>
        </is>
      </c>
      <c r="B6" s="6" t="inlineStr">
        <is>
          <t>D32</t>
        </is>
      </c>
      <c r="C6" s="44" t="inlineStr">
        <is>
          <t>입력: =C32-B32</t>
        </is>
      </c>
      <c r="D6" s="6" t="inlineStr">
        <is>
          <t>날짜끼리 빼면 결과는 이미 일수입니다.</t>
        </is>
      </c>
    </row>
    <row r="7">
      <c r="A7" s="8" t="inlineStr">
        <is>
          <t>0_기간계산공식</t>
        </is>
      </c>
      <c r="B7" s="8" t="inlineStr">
        <is>
          <t>D33</t>
        </is>
      </c>
      <c r="C7" s="44" t="inlineStr">
        <is>
          <t>입력: =C33-B33+1</t>
        </is>
      </c>
      <c r="D7" s="8" t="inlineStr">
        <is>
          <t>시작일과 종료일을 모두 세라는 문제이므로 +1을 붙입니다.</t>
        </is>
      </c>
    </row>
    <row r="8">
      <c r="A8" s="6" t="inlineStr">
        <is>
          <t>0_기간계산공식</t>
        </is>
      </c>
      <c r="B8" s="6" t="inlineStr">
        <is>
          <t>D34</t>
        </is>
      </c>
      <c r="C8" s="44" t="inlineStr">
        <is>
          <t>입력: =TODAY()-B34</t>
        </is>
      </c>
      <c r="D8" s="6" t="inlineStr">
        <is>
          <t>오늘에서 입사일을 빼면 오늘까지의 근속일수가 나옵니다.</t>
        </is>
      </c>
    </row>
    <row r="9">
      <c r="A9" s="8" t="inlineStr">
        <is>
          <t>0_기간계산공식</t>
        </is>
      </c>
      <c r="B9" s="8" t="inlineStr">
        <is>
          <t>D35</t>
        </is>
      </c>
      <c r="C9" s="44" t="inlineStr">
        <is>
          <t>입력: =(C35-B35)*24</t>
        </is>
      </c>
      <c r="D9" s="8" t="inlineStr">
        <is>
          <t>몇 시간인지 숫자로 표시하므로 시간 차이에 24를 곱합니다.</t>
        </is>
      </c>
    </row>
    <row r="10">
      <c r="A10" s="6" t="inlineStr">
        <is>
          <t>0_기간계산공식</t>
        </is>
      </c>
      <c r="B10" s="6" t="inlineStr">
        <is>
          <t>D36</t>
        </is>
      </c>
      <c r="C10" s="44" t="inlineStr">
        <is>
          <t>입력: =C36-B36</t>
        </is>
      </c>
      <c r="D10" s="6" t="inlineStr">
        <is>
          <t>시:분 형식으로 표시하므로 24를 곱하지 않습니다.</t>
        </is>
      </c>
    </row>
    <row r="11">
      <c r="A11" s="8" t="inlineStr">
        <is>
          <t>1교시_오늘과추출</t>
        </is>
      </c>
      <c r="B11" s="8" t="inlineStr">
        <is>
          <t>C22</t>
        </is>
      </c>
      <c r="C11" s="44" t="inlineStr">
        <is>
          <t>입력: =YEAR(B22)</t>
        </is>
      </c>
      <c r="D11" s="8" t="inlineStr">
        <is>
          <t>입사일 B22에서 연도만 꺼냅니다.</t>
        </is>
      </c>
    </row>
    <row r="12">
      <c r="A12" s="6" t="inlineStr">
        <is>
          <t>1교시_오늘과추출</t>
        </is>
      </c>
      <c r="B12" s="6" t="inlineStr">
        <is>
          <t>D22</t>
        </is>
      </c>
      <c r="C12" s="44" t="inlineStr">
        <is>
          <t>입력: =MONTH(B22)</t>
        </is>
      </c>
      <c r="D12" s="6" t="inlineStr">
        <is>
          <t>입사일 B22에서 월만 꺼냅니다.</t>
        </is>
      </c>
    </row>
    <row r="13">
      <c r="A13" s="8" t="inlineStr">
        <is>
          <t>1교시_오늘과추출</t>
        </is>
      </c>
      <c r="B13" s="8" t="inlineStr">
        <is>
          <t>E22</t>
        </is>
      </c>
      <c r="C13" s="44" t="inlineStr">
        <is>
          <t>입력: =DAY(B22)</t>
        </is>
      </c>
      <c r="D13" s="8" t="inlineStr">
        <is>
          <t>입사일 B22에서 일만 꺼냅니다.</t>
        </is>
      </c>
    </row>
    <row r="14">
      <c r="A14" s="6" t="inlineStr">
        <is>
          <t>1교시_오늘과추출</t>
        </is>
      </c>
      <c r="B14" s="6" t="inlineStr">
        <is>
          <t>F22</t>
        </is>
      </c>
      <c r="C14" s="44" t="inlineStr">
        <is>
          <t>입력: =TODAY()</t>
        </is>
      </c>
      <c r="D14" s="6" t="inlineStr">
        <is>
          <t>현재 날짜 함수는 인수가 없습니다.</t>
        </is>
      </c>
    </row>
    <row r="15">
      <c r="A15" s="8" t="inlineStr">
        <is>
          <t>1교시_오늘과추출</t>
        </is>
      </c>
      <c r="B15" s="8" t="inlineStr">
        <is>
          <t>G22</t>
        </is>
      </c>
      <c r="C15" s="44" t="inlineStr">
        <is>
          <t>입력: =YEAR(TODAY())-YEAR(B22)</t>
        </is>
      </c>
      <c r="D15" s="8" t="inlineStr">
        <is>
          <t>현재연도에서 입사연도를 뺍니다. 시험형 단순 근속연수 계산입니다.</t>
        </is>
      </c>
    </row>
    <row r="16">
      <c r="A16" s="6" t="inlineStr">
        <is>
          <t>2교시_만들기와시간</t>
        </is>
      </c>
      <c r="B16" s="6" t="inlineStr">
        <is>
          <t>D24</t>
        </is>
      </c>
      <c r="C16" s="44" t="inlineStr">
        <is>
          <t>입력: =DATE(A24,B24,C24)</t>
        </is>
      </c>
      <c r="D16" s="6" t="inlineStr">
        <is>
          <t>연, 월, 일 조각을 순서대로 넣어 날짜를 만듭니다.</t>
        </is>
      </c>
    </row>
    <row r="17">
      <c r="A17" s="8" t="inlineStr">
        <is>
          <t>2교시_만들기와시간</t>
        </is>
      </c>
      <c r="B17" s="8" t="inlineStr">
        <is>
          <t>G24</t>
        </is>
      </c>
      <c r="C17" s="44" t="inlineStr">
        <is>
          <t>입력: =(F24-E24)*24</t>
        </is>
      </c>
      <c r="D17" s="8" t="inlineStr">
        <is>
          <t>시간은 하루의 일부이므로 차이에 24를 곱해 시간 수로 만듭니다.</t>
        </is>
      </c>
    </row>
    <row r="18">
      <c r="A18" s="6" t="inlineStr">
        <is>
          <t>3교시_요일과기간</t>
        </is>
      </c>
      <c r="B18" s="6" t="inlineStr">
        <is>
          <t>D38</t>
        </is>
      </c>
      <c r="C18" s="44" t="inlineStr">
        <is>
          <t>입력: =C38-B38</t>
        </is>
      </c>
      <c r="D18" s="6" t="inlineStr">
        <is>
          <t>끝나는 날에서 시작하는 날을 빼면 며칠 걸렸는지 나옵니다.</t>
        </is>
      </c>
    </row>
    <row r="19">
      <c r="A19" s="8" t="inlineStr">
        <is>
          <t>3교시_요일과기간</t>
        </is>
      </c>
      <c r="B19" s="8" t="inlineStr">
        <is>
          <t>E38</t>
        </is>
      </c>
      <c r="C19" s="44" t="inlineStr">
        <is>
          <t>입력: =WEEKDAY(C38,2)</t>
        </is>
      </c>
      <c r="D19" s="8" t="inlineStr">
        <is>
          <t>월요일을 1로 표시하는 약속입니다. 처음에는 이 모양 그대로 따라 쓰세요.</t>
        </is>
      </c>
    </row>
    <row r="20">
      <c r="A20" s="6" t="inlineStr">
        <is>
          <t>3교시_요일과기간</t>
        </is>
      </c>
      <c r="B20" s="6" t="inlineStr">
        <is>
          <t>F38</t>
        </is>
      </c>
      <c r="C20" s="44" t="inlineStr">
        <is>
          <t>입력: =MONTH(C38)</t>
        </is>
      </c>
      <c r="D20" s="6" t="inlineStr">
        <is>
          <t>끝나는 날에서 달 숫자만 꺼냅니다.</t>
        </is>
      </c>
    </row>
    <row r="21">
      <c r="A21" s="8" t="inlineStr">
        <is>
          <t>3교시_요일과기간</t>
        </is>
      </c>
      <c r="B21" s="8" t="inlineStr">
        <is>
          <t>G38</t>
        </is>
      </c>
      <c r="C21" s="44" t="inlineStr">
        <is>
          <t>입력: =DAY(C38)</t>
        </is>
      </c>
      <c r="D21" s="8" t="inlineStr">
        <is>
          <t>끝나는 날에서 날짜 숫자만 꺼냅니다.</t>
        </is>
      </c>
    </row>
    <row r="22">
      <c r="A22" s="6" t="inlineStr">
        <is>
          <t>4교시_납기와월말</t>
        </is>
      </c>
      <c r="B22" s="6" t="inlineStr">
        <is>
          <t>E23</t>
        </is>
      </c>
      <c r="C22" s="44" t="inlineStr">
        <is>
          <t>입력: =WORKDAY(B23,C23)</t>
        </is>
      </c>
      <c r="D22" s="6" t="inlineStr">
        <is>
          <t>주문일에서 작업일 수만큼 주말을 건너뜁니다.</t>
        </is>
      </c>
    </row>
    <row r="23">
      <c r="A23" s="8" t="inlineStr">
        <is>
          <t>4교시_납기와월말</t>
        </is>
      </c>
      <c r="B23" s="8" t="inlineStr">
        <is>
          <t>F23</t>
        </is>
      </c>
      <c r="C23" s="44" t="inlineStr">
        <is>
          <t>입력: =EDATE(B23,D23)</t>
        </is>
      </c>
      <c r="D23" s="8" t="inlineStr">
        <is>
          <t>주문일에서 지정 개월 수 뒤 날짜입니다.</t>
        </is>
      </c>
    </row>
    <row r="24">
      <c r="A24" s="6" t="inlineStr">
        <is>
          <t>4교시_납기와월말</t>
        </is>
      </c>
      <c r="B24" s="6" t="inlineStr">
        <is>
          <t>G23</t>
        </is>
      </c>
      <c r="C24" s="44" t="inlineStr">
        <is>
          <t>입력: =EOMONTH(F23,0)</t>
        </is>
      </c>
      <c r="D24" s="6" t="inlineStr">
        <is>
          <t>보증만료일이 들어 있는 달의 마지막 날입니다.</t>
        </is>
      </c>
    </row>
    <row r="25">
      <c r="A25" s="8" t="inlineStr">
        <is>
          <t>실전연습 A</t>
        </is>
      </c>
      <c r="B25" s="8" t="inlineStr">
        <is>
          <t>E9</t>
        </is>
      </c>
      <c r="C25" s="44" t="inlineStr">
        <is>
          <t>입력: =YEAR(B9)</t>
        </is>
      </c>
      <c r="D25" s="8" t="inlineStr">
        <is>
          <t>가입일의 연도를 추출합니다.</t>
        </is>
      </c>
    </row>
    <row r="26">
      <c r="A26" s="6" t="inlineStr">
        <is>
          <t>실전연습 A</t>
        </is>
      </c>
      <c r="B26" s="6" t="inlineStr">
        <is>
          <t>F9</t>
        </is>
      </c>
      <c r="C26" s="44" t="inlineStr">
        <is>
          <t>입력: =MONTH(B9)</t>
        </is>
      </c>
      <c r="D26" s="6" t="inlineStr">
        <is>
          <t>가입일의 월을 추출합니다.</t>
        </is>
      </c>
    </row>
    <row r="27">
      <c r="A27" s="8" t="inlineStr">
        <is>
          <t>실전연습 A</t>
        </is>
      </c>
      <c r="B27" s="8" t="inlineStr">
        <is>
          <t>G9</t>
        </is>
      </c>
      <c r="C27" s="44" t="inlineStr">
        <is>
          <t>입력: =YEAR(C9)</t>
        </is>
      </c>
      <c r="D27" s="8" t="inlineStr">
        <is>
          <t>생년월일의 연도를 추출합니다.</t>
        </is>
      </c>
    </row>
    <row r="28">
      <c r="A28" s="6" t="inlineStr">
        <is>
          <t>실전연습 A</t>
        </is>
      </c>
      <c r="B28" s="6" t="inlineStr">
        <is>
          <t>H9</t>
        </is>
      </c>
      <c r="C28" s="44" t="inlineStr">
        <is>
          <t>입력: =EDATE(B9,D9)</t>
        </is>
      </c>
      <c r="D28" s="6" t="inlineStr">
        <is>
          <t>가입일에서 D9개월 뒤 날짜입니다.</t>
        </is>
      </c>
    </row>
    <row r="29">
      <c r="A29" s="8" t="inlineStr">
        <is>
          <t>실전연습 A</t>
        </is>
      </c>
      <c r="B29" s="8" t="inlineStr">
        <is>
          <t>I9</t>
        </is>
      </c>
      <c r="C29" s="44" t="inlineStr">
        <is>
          <t>입력: =EOMONTH(H9,0)</t>
        </is>
      </c>
      <c r="D29" s="8" t="inlineStr">
        <is>
          <t>H9 날짜가 포함된 달의 월말입니다.</t>
        </is>
      </c>
    </row>
    <row r="30">
      <c r="A30" s="6" t="inlineStr">
        <is>
          <t>실전연습 A</t>
        </is>
      </c>
      <c r="B30" s="6" t="inlineStr">
        <is>
          <t>J9</t>
        </is>
      </c>
      <c r="C30" s="44" t="inlineStr">
        <is>
          <t>입력: =WEEKDAY(B9,2)</t>
        </is>
      </c>
      <c r="D30" s="6" t="inlineStr">
        <is>
          <t>월요일을 1로 계산합니다.</t>
        </is>
      </c>
    </row>
    <row r="31">
      <c r="A31" s="8" t="inlineStr">
        <is>
          <t>실전연습 B</t>
        </is>
      </c>
      <c r="B31" s="8" t="inlineStr">
        <is>
          <t>F17</t>
        </is>
      </c>
      <c r="C31" s="44" t="inlineStr">
        <is>
          <t>입력: =WORKDAY(B17,C17)</t>
        </is>
      </c>
      <c r="D31" s="8" t="inlineStr">
        <is>
          <t>주문일부터 작업일 수만큼 주말을 제외합니다.</t>
        </is>
      </c>
    </row>
    <row r="32">
      <c r="A32" s="6" t="inlineStr">
        <is>
          <t>실전연습 B</t>
        </is>
      </c>
      <c r="B32" s="6" t="inlineStr">
        <is>
          <t>G17</t>
        </is>
      </c>
      <c r="C32" s="44" t="inlineStr">
        <is>
          <t>입력: =(E17-D17)*24</t>
        </is>
      </c>
      <c r="D32" s="6" t="inlineStr">
        <is>
          <t>퇴근-출근 후 24를 곱합니다.</t>
        </is>
      </c>
    </row>
    <row r="33">
      <c r="A33" s="8" t="inlineStr">
        <is>
          <t>실전연습 B</t>
        </is>
      </c>
      <c r="B33" s="8" t="inlineStr">
        <is>
          <t>H17</t>
        </is>
      </c>
      <c r="C33" s="44" t="inlineStr">
        <is>
          <t>입력: =YEAR(F17)</t>
        </is>
      </c>
      <c r="D33" s="8" t="inlineStr">
        <is>
          <t>납기일의 연도를 추출합니다.</t>
        </is>
      </c>
    </row>
    <row r="34">
      <c r="A34" s="6" t="inlineStr">
        <is>
          <t>실전연습 B</t>
        </is>
      </c>
      <c r="B34" s="6" t="inlineStr">
        <is>
          <t>I17</t>
        </is>
      </c>
      <c r="C34" s="44" t="inlineStr">
        <is>
          <t>입력: =MONTH(F17)</t>
        </is>
      </c>
      <c r="D34" s="6" t="inlineStr">
        <is>
          <t>납기일의 월을 추출합니다.</t>
        </is>
      </c>
    </row>
    <row r="35">
      <c r="A35" s="8" t="inlineStr">
        <is>
          <t>실전연습 B</t>
        </is>
      </c>
      <c r="B35" s="8" t="inlineStr">
        <is>
          <t>J17</t>
        </is>
      </c>
      <c r="C35" s="44" t="inlineStr">
        <is>
          <t>입력: =DAY(F17)</t>
        </is>
      </c>
      <c r="D35" s="8" t="inlineStr">
        <is>
          <t>납기일의 일을 추출합니다.</t>
        </is>
      </c>
    </row>
    <row r="36">
      <c r="A36" s="6" t="inlineStr">
        <is>
          <t>실전연습 C</t>
        </is>
      </c>
      <c r="B36" s="6" t="inlineStr">
        <is>
          <t>D25</t>
        </is>
      </c>
      <c r="C36" s="44" t="inlineStr">
        <is>
          <t>입력: =C25-B25</t>
        </is>
      </c>
      <c r="D36" s="6" t="inlineStr">
        <is>
          <t>종료일에서 시작일을 빼서 두 날짜 사이 거리를 계산합니다.</t>
        </is>
      </c>
    </row>
    <row r="37">
      <c r="A37" s="8" t="inlineStr">
        <is>
          <t>실전연습 C</t>
        </is>
      </c>
      <c r="B37" s="8" t="inlineStr">
        <is>
          <t>E25</t>
        </is>
      </c>
      <c r="C37" s="44" t="inlineStr">
        <is>
          <t>입력: =WEEKDAY(C25)</t>
        </is>
      </c>
      <c r="D37" s="8" t="inlineStr">
        <is>
          <t>일요일을 1로 쓰는 기본 번호표이므로 두 번째 인수를 생략할 수 있습니다.</t>
        </is>
      </c>
    </row>
    <row r="38">
      <c r="A38" s="6" t="inlineStr">
        <is>
          <t>실전연습 C</t>
        </is>
      </c>
      <c r="B38" s="6" t="inlineStr">
        <is>
          <t>F25</t>
        </is>
      </c>
      <c r="C38" s="44" t="inlineStr">
        <is>
          <t>입력: =TODAY()</t>
        </is>
      </c>
      <c r="D38" s="6" t="inlineStr">
        <is>
          <t>현재 날짜입니다.</t>
        </is>
      </c>
    </row>
    <row r="39">
      <c r="A39" s="8" t="inlineStr">
        <is>
          <t>실전연습 C</t>
        </is>
      </c>
      <c r="B39" s="8" t="inlineStr">
        <is>
          <t>G25</t>
        </is>
      </c>
      <c r="C39" s="44" t="inlineStr">
        <is>
          <t>입력: =NOW()</t>
        </is>
      </c>
      <c r="D39" s="8" t="inlineStr">
        <is>
          <t>현재 날짜와 시간입니다.</t>
        </is>
      </c>
    </row>
    <row r="40">
      <c r="A40" s="6" t="inlineStr">
        <is>
          <t>실전연습 C</t>
        </is>
      </c>
      <c r="B40" s="6" t="inlineStr">
        <is>
          <t>H25</t>
        </is>
      </c>
      <c r="C40" s="44" t="inlineStr">
        <is>
          <t>입력: =EOMONTH(C25,0)</t>
        </is>
      </c>
      <c r="D40" s="6" t="inlineStr">
        <is>
          <t>종료일이 속한 달의 마지막 날짜입니다.</t>
        </is>
      </c>
    </row>
    <row r="41">
      <c r="A41" s="8" t="inlineStr">
        <is>
          <t>실전연습 C</t>
        </is>
      </c>
      <c r="B41" s="8" t="inlineStr">
        <is>
          <t>I25</t>
        </is>
      </c>
      <c r="C41" s="44" t="inlineStr">
        <is>
          <t>입력: =YEAR(C25)</t>
        </is>
      </c>
      <c r="D41" s="8" t="inlineStr">
        <is>
          <t>종료일의 연도입니다.</t>
        </is>
      </c>
    </row>
    <row r="42">
      <c r="A42" s="6" t="inlineStr">
        <is>
          <t>실전연습 C</t>
        </is>
      </c>
      <c r="B42" s="6" t="inlineStr">
        <is>
          <t>J25</t>
        </is>
      </c>
      <c r="C42" s="44" t="inlineStr">
        <is>
          <t>입력: =MONTH(C25)</t>
        </is>
      </c>
      <c r="D42" s="6" t="inlineStr">
        <is>
          <t>종료일의 월입니다.</t>
        </is>
      </c>
    </row>
    <row r="43"/>
    <row r="44"/>
    <row r="45">
      <c r="A45" s="3" t="inlineStr">
        <is>
          <t>아래로 복사할 때 셀 주소가 행마다 바뀌는지 확인하세요. TODAY(), NOW()처럼 빈 괄호가 필요한 함수도 있습니다.</t>
        </is>
      </c>
      <c r="B45" s="4" t="n"/>
      <c r="C45" s="4" t="n"/>
      <c r="D45" s="4" t="n"/>
    </row>
    <row r="46">
      <c r="A46" s="4" t="n"/>
      <c r="B46" s="4" t="n"/>
      <c r="C46" s="4" t="n"/>
      <c r="D46" s="4" t="n"/>
    </row>
  </sheetData>
  <mergeCells count="3">
    <mergeCell ref="A1:D1"/>
    <mergeCell ref="A45:D46"/>
    <mergeCell ref="A2:D2"/>
  </mergeCells>
  <pageMargins left="0.3" right="0.3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2" customWidth="1" min="3" max="3"/>
    <col width="36" customWidth="1" min="4" max="4"/>
  </cols>
  <sheetData>
    <row r="1" ht="28" customHeight="1">
      <c r="A1" s="9" t="inlineStr">
        <is>
          <t>강사용대본</t>
        </is>
      </c>
    </row>
    <row r="2" ht="28" customHeight="1">
      <c r="A2" s="2" t="inlineStr">
        <is>
          <t>4시간 수업 운영용입니다. 설명 뒤에는 반드시 학생이 손으로 입력하게 합니다.</t>
        </is>
      </c>
    </row>
    <row r="3"/>
    <row r="4"/>
    <row r="5">
      <c r="A5" s="5" t="inlineStr">
        <is>
          <t>시간</t>
        </is>
      </c>
      <c r="B5" s="5" t="inlineStr">
        <is>
          <t>진행</t>
        </is>
      </c>
      <c r="C5" s="5" t="inlineStr">
        <is>
          <t>강사 멘트</t>
        </is>
      </c>
      <c r="D5" s="5" t="inlineStr">
        <is>
          <t>학생 확인</t>
        </is>
      </c>
    </row>
    <row r="6">
      <c r="A6" s="6" t="inlineStr">
        <is>
          <t>0:00-0:10</t>
        </is>
      </c>
      <c r="B6" s="6" t="inlineStr">
        <is>
          <t>도입</t>
        </is>
      </c>
      <c r="C6" s="6" t="inlineStr">
        <is>
          <t>날짜 함수는 달력을 다루는 도구입니다. 외울 함수가 많아 보여도 하는 일은 꺼내기, 만들기, 거리 재기 세 가지입니다.</t>
        </is>
      </c>
      <c r="D6" s="6" t="inlineStr">
        <is>
          <t>세 가지를 학생이 말하게 하기</t>
        </is>
      </c>
    </row>
    <row r="7">
      <c r="A7" s="8" t="inlineStr">
        <is>
          <t>0:10-0:20</t>
        </is>
      </c>
      <c r="B7" s="8" t="inlineStr">
        <is>
          <t>숫자 원리</t>
        </is>
      </c>
      <c r="C7" s="8" t="inlineStr">
        <is>
          <t>엑셀은 날짜를 숫자로 저장합니다. 하루가 지나면 1이 늘어납니다. 시간은 하루를 잘게 나눈 소수입니다.</t>
        </is>
      </c>
      <c r="D7" s="8" t="inlineStr">
        <is>
          <t>날짜 차이와 시간 차이 예제 확인</t>
        </is>
      </c>
    </row>
    <row r="8">
      <c r="A8" s="6" t="inlineStr">
        <is>
          <t>0:20-0:40</t>
        </is>
      </c>
      <c r="B8" s="6" t="inlineStr">
        <is>
          <t>기간 공식</t>
        </is>
      </c>
      <c r="C8" s="6" t="inlineStr">
        <is>
          <t>날짜끼리 빼면 일수입니다. 시간끼리 빼면 하루의 일부이므로 몇 시간인지 숫자로 볼 때만 24를 곱합니다. 포함 지시가 있으면 날짜 차이에 1을 더합니다.</t>
        </is>
      </c>
      <c r="D8" s="6" t="inlineStr">
        <is>
          <t>기간계산공식 초록칸 입력</t>
        </is>
      </c>
    </row>
    <row r="9">
      <c r="A9" s="8" t="inlineStr">
        <is>
          <t>0:40-1:00</t>
        </is>
      </c>
      <c r="B9" s="8" t="inlineStr">
        <is>
          <t>TODAY/NOW</t>
        </is>
      </c>
      <c r="C9" s="8" t="inlineStr">
        <is>
          <t>TODAY는 오늘 달력 한 장, NOW는 오늘 달력에 시계까지 붙인 것입니다. 둘 다 빈 괄호입니다.</t>
        </is>
      </c>
      <c r="D9" s="8" t="inlineStr">
        <is>
          <t>TODAY(), NOW() 직접 입력</t>
        </is>
      </c>
    </row>
    <row r="10">
      <c r="A10" s="6" t="inlineStr">
        <is>
          <t>1:00-1:15</t>
        </is>
      </c>
      <c r="B10" s="6" t="inlineStr">
        <is>
          <t>YEAR/MONTH/DAY</t>
        </is>
      </c>
      <c r="C10" s="6" t="inlineStr">
        <is>
          <t>큰 날짜 덩어리에서 필요한 조각만 꺼냅니다. 주민등록 생년, 입사월 같은 문제를 연결합니다.</t>
        </is>
      </c>
      <c r="D10" s="6" t="inlineStr">
        <is>
          <t>1교시 초록칸 입력</t>
        </is>
      </c>
    </row>
    <row r="11">
      <c r="A11" s="8" t="inlineStr">
        <is>
          <t>1:15-1:35</t>
        </is>
      </c>
      <c r="B11" s="8" t="inlineStr">
        <is>
          <t>DATE/TIME</t>
        </is>
      </c>
      <c r="C11" s="8" t="inlineStr">
        <is>
          <t>반대로 조각을 합칠 때는 DATE와 TIME입니다. 순서는 연월일, 시분초입니다.</t>
        </is>
      </c>
      <c r="D11" s="8" t="inlineStr">
        <is>
          <t>조립 그림을 손가락으로 따라가기</t>
        </is>
      </c>
    </row>
    <row r="12">
      <c r="A12" s="6" t="inlineStr">
        <is>
          <t>1:35-1:55</t>
        </is>
      </c>
      <c r="B12" s="6" t="inlineStr">
        <is>
          <t>시간 차이</t>
        </is>
      </c>
      <c r="C12" s="6" t="inlineStr">
        <is>
          <t>시간끼리 빼면 하루 기준 소수가 나옵니다. 몇 시간인지 묻는다면 24를 곱합니다.</t>
        </is>
      </c>
      <c r="D12" s="6" t="inlineStr">
        <is>
          <t>2교시 초록칸 입력</t>
        </is>
      </c>
    </row>
    <row r="13">
      <c r="A13" s="8" t="inlineStr">
        <is>
          <t>1:55-2:15</t>
        </is>
      </c>
      <c r="B13" s="8" t="inlineStr">
        <is>
          <t>WEEKDAY</t>
        </is>
      </c>
      <c r="C13" s="8" t="inlineStr">
        <is>
          <t>요일 함수는 번호표를 고르는 문제입니다. 월요일을 1로 하라는 단서를 놓치지 않습니다.</t>
        </is>
      </c>
      <c r="D13" s="8" t="inlineStr">
        <is>
          <t>번호표 1과 2 비교</t>
        </is>
      </c>
    </row>
    <row r="14">
      <c r="A14" s="6" t="inlineStr">
        <is>
          <t>2:15-2:35</t>
        </is>
      </c>
      <c r="B14" s="6" t="inlineStr">
        <is>
          <t>날짜 빼기</t>
        </is>
      </c>
      <c r="C14" s="6" t="inlineStr">
        <is>
          <t>거리 재기입니다. 종료일에서 시작일을 빼면 며칠 차이인지 나옵니다. DAYS 함수가 없는 Excel에서도 이 방식은 동작합니다.</t>
        </is>
      </c>
      <c r="D14" s="6" t="inlineStr">
        <is>
          <t>3교시 초록칸 입력</t>
        </is>
      </c>
    </row>
    <row r="15">
      <c r="A15" s="8" t="inlineStr">
        <is>
          <t>2:35-3:00</t>
        </is>
      </c>
      <c r="B15" s="8" t="inlineStr">
        <is>
          <t>WORKDAY</t>
        </is>
      </c>
      <c r="C15" s="8" t="inlineStr">
        <is>
          <t>납기일인데 주말을 쉬어야 한다면 WORKDAY입니다. 휴일 목록이 주어지면 세 번째 인수를 추가합니다.</t>
        </is>
      </c>
      <c r="D15" s="8" t="inlineStr">
        <is>
          <t>주말이 끼는 예제 확인</t>
        </is>
      </c>
    </row>
    <row r="16">
      <c r="A16" s="6" t="inlineStr">
        <is>
          <t>3:00-3:20</t>
        </is>
      </c>
      <c r="B16" s="6" t="inlineStr">
        <is>
          <t>EDATE/EOMONTH</t>
        </is>
      </c>
      <c r="C16" s="6" t="inlineStr">
        <is>
          <t>몇 개월 뒤 같은 날짜는 EDATE, 그 달의 마지막 날은 EOMONTH입니다.</t>
        </is>
      </c>
      <c r="D16" s="6" t="inlineStr">
        <is>
          <t>4교시 초록칸 입력</t>
        </is>
      </c>
    </row>
    <row r="17">
      <c r="A17" s="8" t="inlineStr">
        <is>
          <t>3:20-3:50</t>
        </is>
      </c>
      <c r="B17" s="8" t="inlineStr">
        <is>
          <t>실전</t>
        </is>
      </c>
      <c r="C17" s="8" t="inlineStr">
        <is>
          <t>함수를 바로 쓰지 말고 문제 문장에서 단서를 먼저 찾게 합니다. 첫 행만 완성한 뒤 아래로 복사합니다.</t>
        </is>
      </c>
      <c r="D17" s="8" t="inlineStr">
        <is>
          <t>세트 A/B/C 풀이</t>
        </is>
      </c>
    </row>
    <row r="18">
      <c r="A18" s="6" t="inlineStr">
        <is>
          <t>3:50-4:00</t>
        </is>
      </c>
      <c r="B18" s="6" t="inlineStr">
        <is>
          <t>오답 교정</t>
        </is>
      </c>
      <c r="C18" s="6" t="inlineStr">
        <is>
          <t>틀린 문제는 함수 이름보다 '왜 그 함수를 골랐는지'를 다시 말하게 합니다.</t>
        </is>
      </c>
      <c r="D18" s="6" t="inlineStr">
        <is>
          <t>52개 이상 정답 여부 확인</t>
        </is>
      </c>
    </row>
    <row r="19">
      <c r="A19" s="3" t="inlineStr">
        <is>
          <t>강사 메모
단순 근속연수 =YEAR(TODAY())-YEAR(입사일)은 시험형 연도 차이 예제입니다. 정확한 만 나이나 정확한 근속기간이 필요하면 생일/기념일 경과 여부까지 따져야 합니다.</t>
        </is>
      </c>
      <c r="B19" s="4" t="n"/>
      <c r="C19" s="4" t="n"/>
      <c r="D19" s="4" t="n"/>
    </row>
    <row r="20">
      <c r="A20" s="4" t="n"/>
      <c r="B20" s="4" t="n"/>
      <c r="C20" s="4" t="n"/>
      <c r="D20" s="4" t="n"/>
    </row>
  </sheetData>
  <mergeCells count="3">
    <mergeCell ref="A1:D1"/>
    <mergeCell ref="A19:D20"/>
    <mergeCell ref="A2:D2"/>
  </mergeCell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컴활 2급 실기 - 날짜와 시간 함수 4시간 학습지</dc:title>
  <dc:subject xmlns:dc="http://purl.org/dc/elements/1.1/">컴퓨터활용능력 2급 실기 날짜와 시간 함수</dc:subject>
  <dcterms:created xmlns:dcterms="http://purl.org/dc/terms/" xmlns:xsi="http://www.w3.org/2001/XMLSchema-instance" xsi:type="dcterms:W3CDTF">2026-06-01T06:59:57Z</dcterms:created>
  <dcterms:modified xmlns:dcterms="http://purl.org/dc/terms/" xmlns:xsi="http://www.w3.org/2001/XMLSchema-instance" xsi:type="dcterms:W3CDTF">2026-06-01T06:59:58Z</dcterms:modified>
</cp:coreProperties>
</file>