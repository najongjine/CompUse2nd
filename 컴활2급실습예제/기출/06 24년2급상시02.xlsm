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4_4회분\"/>
    </mc:Choice>
  </mc:AlternateContent>
  <xr:revisionPtr revIDLastSave="0" documentId="13_ncr:1_{66A11BF0-CD3B-4466-8BA5-CDB0AE8B3C41}" xr6:coauthVersionLast="47" xr6:coauthVersionMax="47" xr10:uidLastSave="{00000000-0000-0000-0000-000000000000}"/>
  <bookViews>
    <workbookView xWindow="-37680" yWindow="720" windowWidth="23330" windowHeight="18390" xr2:uid="{0EEDF1A2-3938-449D-9EC9-FDF9E4CFF044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9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10" i="4"/>
  <c r="J11" i="4"/>
  <c r="J3" i="4"/>
  <c r="E15" i="6" l="1"/>
  <c r="E16" i="6"/>
  <c r="E17" i="6"/>
  <c r="E14" i="6"/>
  <c r="E18" i="6" s="1"/>
  <c r="E10" i="6"/>
  <c r="E11" i="6"/>
  <c r="E12" i="6"/>
  <c r="E9" i="6"/>
  <c r="E5" i="6"/>
  <c r="E6" i="6"/>
  <c r="E7" i="6"/>
  <c r="E4" i="6"/>
  <c r="E8" i="6" s="1"/>
  <c r="D18" i="6"/>
  <c r="C18" i="6"/>
  <c r="D13" i="6"/>
  <c r="C13" i="6"/>
  <c r="C8" i="6"/>
  <c r="E13" i="6" l="1"/>
  <c r="D8" i="6"/>
  <c r="G5" i="5" l="1"/>
  <c r="G6" i="5"/>
  <c r="G7" i="5"/>
  <c r="G8" i="5"/>
  <c r="G9" i="5"/>
  <c r="G10" i="5"/>
  <c r="G11" i="5"/>
  <c r="G12" i="5"/>
  <c r="G13" i="5"/>
  <c r="G14" i="5"/>
  <c r="G4" i="5"/>
  <c r="C10" i="8" l="1"/>
  <c r="D10" i="8"/>
  <c r="B10" i="8"/>
  <c r="D5" i="8"/>
  <c r="D6" i="8"/>
  <c r="D7" i="8"/>
  <c r="D8" i="8"/>
  <c r="D9" i="8"/>
  <c r="D4" i="8"/>
  <c r="F5" i="3" l="1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<sst xmlns="http://schemas.openxmlformats.org/spreadsheetml/2006/main" count="245" uniqueCount="196">
  <si>
    <t>E-BOOK 판매 현황</t>
    <phoneticPr fontId="1" type="noConversion"/>
  </si>
  <si>
    <t>판매량</t>
    <phoneticPr fontId="1" type="noConversion"/>
  </si>
  <si>
    <t>도서관명</t>
    <phoneticPr fontId="1" type="noConversion"/>
  </si>
  <si>
    <t>개관일</t>
    <phoneticPr fontId="1" type="noConversion"/>
  </si>
  <si>
    <t>장서수</t>
    <phoneticPr fontId="1" type="noConversion"/>
  </si>
  <si>
    <t>방문자수</t>
    <phoneticPr fontId="1" type="noConversion"/>
  </si>
  <si>
    <t>열람권수</t>
    <phoneticPr fontId="1" type="noConversion"/>
  </si>
  <si>
    <t>장소</t>
    <phoneticPr fontId="1" type="noConversion"/>
  </si>
  <si>
    <t>시립도서관</t>
    <phoneticPr fontId="1" type="noConversion"/>
  </si>
  <si>
    <t>서울도서관</t>
    <phoneticPr fontId="1" type="noConversion"/>
  </si>
  <si>
    <t>어린이도서관</t>
    <phoneticPr fontId="1" type="noConversion"/>
  </si>
  <si>
    <t>스마트도서관</t>
    <phoneticPr fontId="1" type="noConversion"/>
  </si>
  <si>
    <t>정독도서관</t>
    <phoneticPr fontId="1" type="noConversion"/>
  </si>
  <si>
    <t>튼튼도서관</t>
    <phoneticPr fontId="1" type="noConversion"/>
  </si>
  <si>
    <t>어울림도서관</t>
    <phoneticPr fontId="1" type="noConversion"/>
  </si>
  <si>
    <t>서울 종로구</t>
    <phoneticPr fontId="1" type="noConversion"/>
  </si>
  <si>
    <t>서울시 도서관 현황 및 이용 실태</t>
    <phoneticPr fontId="1" type="noConversion"/>
  </si>
  <si>
    <t>서울 중구</t>
    <phoneticPr fontId="1" type="noConversion"/>
  </si>
  <si>
    <t>서울 마포구</t>
    <phoneticPr fontId="1" type="noConversion"/>
  </si>
  <si>
    <t>서울 서초구</t>
    <phoneticPr fontId="1" type="noConversion"/>
  </si>
  <si>
    <t>서울 노원구</t>
    <phoneticPr fontId="1" type="noConversion"/>
  </si>
  <si>
    <t>서울 강남구</t>
    <phoneticPr fontId="1" type="noConversion"/>
  </si>
  <si>
    <t>서울 중랑구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</si>
  <si>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</si>
  <si>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</si>
  <si>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</si>
  <si>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</si>
  <si>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판매가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</si>
  <si>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</si>
  <si>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</si>
  <si>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</si>
  <si>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</si>
  <si>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</si>
  <si>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</si>
  <si>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</si>
  <si>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</si>
  <si>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</si>
  <si>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</si>
  <si>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</si>
  <si>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</si>
  <si>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</si>
  <si>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5월 급여명세표</t>
    <phoneticPr fontId="1" type="noConversion"/>
  </si>
  <si>
    <t>사원코드</t>
    <phoneticPr fontId="1" type="noConversion"/>
  </si>
  <si>
    <t>기본급</t>
    <phoneticPr fontId="1" type="noConversion"/>
  </si>
  <si>
    <t>식대</t>
    <phoneticPr fontId="1" type="noConversion"/>
  </si>
  <si>
    <t>추가근로수당</t>
    <phoneticPr fontId="1" type="noConversion"/>
  </si>
  <si>
    <t>세금</t>
    <phoneticPr fontId="1" type="noConversion"/>
  </si>
  <si>
    <t>실수령액</t>
    <phoneticPr fontId="1" type="noConversion"/>
  </si>
  <si>
    <t>DE-3891</t>
    <phoneticPr fontId="1" type="noConversion"/>
  </si>
  <si>
    <t>DE-0604</t>
    <phoneticPr fontId="1" type="noConversion"/>
  </si>
  <si>
    <t>DE-5527</t>
    <phoneticPr fontId="1" type="noConversion"/>
  </si>
  <si>
    <t>SA-2718</t>
    <phoneticPr fontId="1" type="noConversion"/>
  </si>
  <si>
    <t>SA-4007</t>
    <phoneticPr fontId="1" type="noConversion"/>
  </si>
  <si>
    <t>SA-9312</t>
    <phoneticPr fontId="1" type="noConversion"/>
  </si>
  <si>
    <t>CM-4928</t>
    <phoneticPr fontId="1" type="noConversion"/>
  </si>
  <si>
    <t>CM-5271</t>
    <phoneticPr fontId="1" type="noConversion"/>
  </si>
  <si>
    <t>합계</t>
    <phoneticPr fontId="1" type="noConversion"/>
  </si>
  <si>
    <t>상공산업 상반기 매출 현황</t>
    <phoneticPr fontId="1" type="noConversion"/>
  </si>
  <si>
    <t>판매수량</t>
    <phoneticPr fontId="1" type="noConversion"/>
  </si>
  <si>
    <t>반품수량</t>
    <phoneticPr fontId="1" type="noConversion"/>
  </si>
  <si>
    <t>월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</si>
  <si>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</si>
  <si>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</si>
  <si>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</si>
  <si>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</si>
  <si>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</si>
  <si>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</si>
  <si>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상공버거 일일 판매 현황</t>
    <phoneticPr fontId="1" type="noConversion"/>
  </si>
  <si>
    <t>메뉴</t>
    <phoneticPr fontId="1" type="noConversion"/>
  </si>
  <si>
    <t>구분</t>
    <phoneticPr fontId="1" type="noConversion"/>
  </si>
  <si>
    <t>중량</t>
    <phoneticPr fontId="1" type="noConversion"/>
  </si>
  <si>
    <t>열량</t>
    <phoneticPr fontId="1" type="noConversion"/>
  </si>
  <si>
    <t>가격</t>
    <phoneticPr fontId="1" type="noConversion"/>
  </si>
  <si>
    <t>판매액</t>
    <phoneticPr fontId="1" type="noConversion"/>
  </si>
  <si>
    <t>단품</t>
    <phoneticPr fontId="1" type="noConversion"/>
  </si>
  <si>
    <t>세트</t>
    <phoneticPr fontId="1" type="noConversion"/>
  </si>
  <si>
    <t>사이드</t>
    <phoneticPr fontId="1" type="noConversion"/>
  </si>
  <si>
    <t>불고기버거</t>
    <phoneticPr fontId="1" type="noConversion"/>
  </si>
  <si>
    <t>새우버거</t>
    <phoneticPr fontId="1" type="noConversion"/>
  </si>
  <si>
    <t>치킨버거</t>
    <phoneticPr fontId="1" type="noConversion"/>
  </si>
  <si>
    <t>너켓킹</t>
    <phoneticPr fontId="1" type="noConversion"/>
  </si>
  <si>
    <t>치즈스틱</t>
    <phoneticPr fontId="1" type="noConversion"/>
  </si>
  <si>
    <t>프렌치프라이</t>
    <phoneticPr fontId="1" type="noConversion"/>
  </si>
  <si>
    <t>새우버거세트</t>
    <phoneticPr fontId="1" type="noConversion"/>
  </si>
  <si>
    <t>불고기버거세트</t>
    <phoneticPr fontId="1" type="noConversion"/>
  </si>
  <si>
    <t>치킨버거세트</t>
    <phoneticPr fontId="1" type="noConversion"/>
  </si>
  <si>
    <t>치즈버거</t>
    <phoneticPr fontId="1" type="noConversion"/>
  </si>
  <si>
    <t>치즈버거세트</t>
    <phoneticPr fontId="1" type="noConversion"/>
  </si>
  <si>
    <t>주문일자</t>
    <phoneticPr fontId="1" type="noConversion"/>
  </si>
  <si>
    <t>제품 주문 내역서</t>
    <phoneticPr fontId="1" type="noConversion"/>
  </si>
  <si>
    <t>주문수량</t>
    <phoneticPr fontId="1" type="noConversion"/>
  </si>
  <si>
    <t>제품코드</t>
    <phoneticPr fontId="1" type="noConversion"/>
  </si>
  <si>
    <t>G-84723</t>
    <phoneticPr fontId="1" type="noConversion"/>
  </si>
  <si>
    <t>H-39006</t>
    <phoneticPr fontId="1" type="noConversion"/>
  </si>
  <si>
    <t>F-51823</t>
    <phoneticPr fontId="1" type="noConversion"/>
  </si>
  <si>
    <t>S-41029</t>
    <phoneticPr fontId="1" type="noConversion"/>
  </si>
  <si>
    <t>1월 소계</t>
    <phoneticPr fontId="1" type="noConversion"/>
  </si>
  <si>
    <t>2월 소계</t>
    <phoneticPr fontId="1" type="noConversion"/>
  </si>
  <si>
    <t>3월 소계</t>
    <phoneticPr fontId="1" type="noConversion"/>
  </si>
  <si>
    <t>세율</t>
    <phoneticPr fontId="1" type="noConversion"/>
  </si>
  <si>
    <t>[표1]</t>
  </si>
  <si>
    <t>[표2]</t>
    <phoneticPr fontId="1" type="noConversion"/>
  </si>
  <si>
    <t>순위</t>
    <phoneticPr fontId="1" type="noConversion"/>
  </si>
  <si>
    <t>이름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</si>
  <si>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</si>
  <si>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</si>
  <si>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</si>
  <si>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</si>
  <si>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시험</t>
    <phoneticPr fontId="1" type="noConversion"/>
  </si>
  <si>
    <t>평가</t>
    <phoneticPr fontId="1" type="noConversion"/>
  </si>
  <si>
    <t>&lt;평가기준표&gt;</t>
    <phoneticPr fontId="1" type="noConversion"/>
  </si>
  <si>
    <t>사원평가표</t>
    <phoneticPr fontId="1" type="noConversion"/>
  </si>
  <si>
    <t>근태</t>
    <phoneticPr fontId="1" type="noConversion"/>
  </si>
  <si>
    <t>실적</t>
    <phoneticPr fontId="1" type="noConversion"/>
  </si>
  <si>
    <t>총점</t>
    <phoneticPr fontId="1" type="noConversion"/>
  </si>
  <si>
    <t>송도원</t>
  </si>
  <si>
    <t>허은우</t>
  </si>
  <si>
    <t>고아지</t>
  </si>
  <si>
    <t>조채아</t>
  </si>
  <si>
    <t>최소희</t>
  </si>
  <si>
    <t>손호준</t>
    <phoneticPr fontId="1" type="noConversion"/>
  </si>
  <si>
    <t>황지성</t>
    <phoneticPr fontId="1" type="noConversion"/>
  </si>
  <si>
    <t>양주희</t>
    <phoneticPr fontId="1" type="noConversion"/>
  </si>
  <si>
    <t>김성한</t>
    <phoneticPr fontId="1" type="noConversion"/>
  </si>
  <si>
    <t>[표3]</t>
    <phoneticPr fontId="1" type="noConversion"/>
  </si>
  <si>
    <t>수량</t>
    <phoneticPr fontId="1" type="noConversion"/>
  </si>
  <si>
    <t>일일 매출 현황</t>
    <phoneticPr fontId="1" type="noConversion"/>
  </si>
  <si>
    <t>매출액</t>
    <phoneticPr fontId="1" type="noConversion"/>
  </si>
  <si>
    <t>분류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</si>
  <si>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</si>
  <si>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</si>
  <si>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</si>
  <si>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</si>
  <si>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볼펜</t>
    <phoneticPr fontId="1" type="noConversion"/>
  </si>
  <si>
    <t>생활용품</t>
    <phoneticPr fontId="1" type="noConversion"/>
  </si>
  <si>
    <t>건전지</t>
    <phoneticPr fontId="1" type="noConversion"/>
  </si>
  <si>
    <t>종이컵</t>
    <phoneticPr fontId="1" type="noConversion"/>
  </si>
  <si>
    <t>물티슈</t>
    <phoneticPr fontId="1" type="noConversion"/>
  </si>
  <si>
    <t>화장지</t>
    <phoneticPr fontId="1" type="noConversion"/>
  </si>
  <si>
    <t>사무용품 매출액 평균</t>
    <phoneticPr fontId="1" type="noConversion"/>
  </si>
  <si>
    <t>&lt;조건&gt;</t>
    <phoneticPr fontId="1" type="noConversion"/>
  </si>
  <si>
    <t>[표4]</t>
    <phoneticPr fontId="1" type="noConversion"/>
  </si>
  <si>
    <t>박스오피스</t>
    <phoneticPr fontId="1" type="noConversion"/>
  </si>
  <si>
    <t>영화명</t>
    <phoneticPr fontId="1" type="noConversion"/>
  </si>
  <si>
    <t>관객수</t>
    <phoneticPr fontId="1" type="noConversion"/>
  </si>
  <si>
    <t>평점</t>
    <phoneticPr fontId="1" type="noConversion"/>
  </si>
  <si>
    <t>등급</t>
    <phoneticPr fontId="1" type="noConversion"/>
  </si>
  <si>
    <t>극한도시</t>
    <phoneticPr fontId="1" type="noConversion"/>
  </si>
  <si>
    <t>슈가보이</t>
    <phoneticPr fontId="1" type="noConversion"/>
  </si>
  <si>
    <t>지구탈출</t>
    <phoneticPr fontId="1" type="noConversion"/>
  </si>
  <si>
    <t>분노의신</t>
    <phoneticPr fontId="1" type="noConversion"/>
  </si>
  <si>
    <t>스턴트</t>
    <phoneticPr fontId="1" type="noConversion"/>
  </si>
  <si>
    <t>골드라인</t>
    <phoneticPr fontId="1" type="noConversion"/>
  </si>
  <si>
    <t>더공조</t>
    <phoneticPr fontId="1" type="noConversion"/>
  </si>
  <si>
    <t>두남자</t>
    <phoneticPr fontId="1" type="noConversion"/>
  </si>
  <si>
    <t>전체</t>
    <phoneticPr fontId="1" type="noConversion"/>
  </si>
  <si>
    <t>15세 이상</t>
    <phoneticPr fontId="1" type="noConversion"/>
  </si>
  <si>
    <t>12세 이상</t>
    <phoneticPr fontId="1" type="noConversion"/>
  </si>
  <si>
    <t>신의정원</t>
    <phoneticPr fontId="1" type="noConversion"/>
  </si>
  <si>
    <t>관객수가 3,000,000 이상인 비율</t>
    <phoneticPr fontId="1" type="noConversion"/>
  </si>
  <si>
    <t>[표5]</t>
    <phoneticPr fontId="1" type="noConversion"/>
  </si>
  <si>
    <t>연료</t>
    <phoneticPr fontId="1" type="noConversion"/>
  </si>
  <si>
    <t>연비</t>
    <phoneticPr fontId="1" type="noConversion"/>
  </si>
  <si>
    <t>휘발유</t>
    <phoneticPr fontId="1" type="noConversion"/>
  </si>
  <si>
    <t>경유</t>
    <phoneticPr fontId="1" type="noConversion"/>
  </si>
  <si>
    <t>자동차 정보</t>
    <phoneticPr fontId="1" type="noConversion"/>
  </si>
  <si>
    <t>모델명</t>
    <phoneticPr fontId="1" type="noConversion"/>
  </si>
  <si>
    <t>전기</t>
    <phoneticPr fontId="1" type="noConversion"/>
  </si>
  <si>
    <t>스타디아</t>
    <phoneticPr fontId="1" type="noConversion"/>
  </si>
  <si>
    <t>카니윤</t>
    <phoneticPr fontId="1" type="noConversion"/>
  </si>
  <si>
    <t>크나</t>
    <phoneticPr fontId="1" type="noConversion"/>
  </si>
  <si>
    <t>투슬라</t>
    <phoneticPr fontId="1" type="noConversion"/>
  </si>
  <si>
    <t>아이오</t>
    <phoneticPr fontId="1" type="noConversion"/>
  </si>
  <si>
    <t>타싼</t>
    <phoneticPr fontId="1" type="noConversion"/>
  </si>
  <si>
    <t>마티아</t>
    <phoneticPr fontId="1" type="noConversion"/>
  </si>
  <si>
    <t>아반스</t>
    <phoneticPr fontId="1" type="noConversion"/>
  </si>
  <si>
    <t>유리오</t>
    <phoneticPr fontId="1" type="noConversion"/>
  </si>
  <si>
    <t>(단위 : 만원)</t>
    <phoneticPr fontId="1" type="noConversion"/>
  </si>
  <si>
    <t>연료가 휘발유인 자동차 중
연비가 가장 높은 모델명</t>
    <phoneticPr fontId="1" type="noConversion"/>
  </si>
  <si>
    <t>다나타</t>
    <phoneticPr fontId="1" type="noConversion"/>
  </si>
  <si>
    <t>상공컨벤션 예약 현황</t>
    <phoneticPr fontId="1" type="noConversion"/>
  </si>
  <si>
    <t>예약코드</t>
    <phoneticPr fontId="1" type="noConversion"/>
  </si>
  <si>
    <t>예약인원</t>
    <phoneticPr fontId="1" type="noConversion"/>
  </si>
  <si>
    <t>1-K-24</t>
    <phoneticPr fontId="1" type="noConversion"/>
  </si>
  <si>
    <t>이벤트</t>
    <phoneticPr fontId="1" type="noConversion"/>
  </si>
  <si>
    <t>세미나</t>
    <phoneticPr fontId="1" type="noConversion"/>
  </si>
  <si>
    <t>1-R-72</t>
    <phoneticPr fontId="1" type="noConversion"/>
  </si>
  <si>
    <t>1-R-39</t>
    <phoneticPr fontId="1" type="noConversion"/>
  </si>
  <si>
    <t>1-K-88</t>
    <phoneticPr fontId="1" type="noConversion"/>
  </si>
  <si>
    <t>3-K-62</t>
    <phoneticPr fontId="1" type="noConversion"/>
  </si>
  <si>
    <t>기업회의</t>
    <phoneticPr fontId="1" type="noConversion"/>
  </si>
  <si>
    <t>3-R-90</t>
    <phoneticPr fontId="1" type="noConversion"/>
  </si>
  <si>
    <t>3-R-48</t>
    <phoneticPr fontId="1" type="noConversion"/>
  </si>
  <si>
    <t>1-K-55</t>
    <phoneticPr fontId="1" type="noConversion"/>
  </si>
  <si>
    <t>3-K-18</t>
    <phoneticPr fontId="1" type="noConversion"/>
  </si>
  <si>
    <t>할인율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</si>
</sst>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  <c:pt idx="6">
                  <c:v>31465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9-4E67-8185-CC3EF2859E6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  <c:pt idx="6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A9-4E67-8185-CC3EF2859E63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49462500</c:v>
                </c:pt>
                <c:pt idx="1">
                  <c:v>70025000</c:v>
                </c:pt>
                <c:pt idx="2">
                  <c:v>64162500</c:v>
                </c:pt>
                <c:pt idx="3">
                  <c:v>54000000</c:v>
                </c:pt>
                <c:pt idx="4">
                  <c:v>82300000</c:v>
                </c:pt>
                <c:pt idx="5">
                  <c:v>73362500</c:v>
                </c:pt>
                <c:pt idx="6">
                  <c:v>393312500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A9-4E67-8185-CC3EF2859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797488"/>
        <c:axId val="56794160"/>
      </c:barChart>
      <c:catAx>
        <c:axId val="5679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94160"/>
        <c:crosses val="autoZero"/>
        <c:auto val="1"/>
        <c:lblAlgn val="ctr"/>
        <c:lblOffset val="100"/>
        <c:noMultiLvlLbl val="0"/>
      </c:catAx>
      <c:valAx>
        <c:axId val="5679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9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DE8E014-5FB0-477C-8981-CBDA3437E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6F36-B183-4D68-8A8F-21264B919EEF}">
  <dimension ref="A1:G8"/>
  <sheetViews>
    <sheetView tabSelected="1" workbookViewId="0"/>
  </sheetViews>
  <sheetFormatPr defaultRowHeight="17" x14ac:dyDescent="0.45"/>
  <cols>
    <col min="2" max="2" width="12.33203125" bestFit="1" customWidth="1"/>
    <col min="4" max="4" width="10.75" bestFit="1" customWidth="1"/>
  </cols>
  <sheetData>
    <row r="1" spans="1:7" x14ac:dyDescent="0.45">
      <c r="A1" t="s">
        <v>0</v>
      </c>
    </row>
    <row r="3" spans="1:7" x14ac:dyDescent="0.45">
      <c r="A3" s="2"/>
      <c r="B3" s="2"/>
      <c r="C3" s="2"/>
      <c r="D3" s="2"/>
      <c r="E3" s="2"/>
      <c r="F3" s="2"/>
      <c r="G3" s="2"/>
    </row>
    <row r="4" spans="1:7" x14ac:dyDescent="0.45">
      <c r="A4" s="2"/>
      <c r="B4" s="2"/>
      <c r="C4" s="2"/>
      <c r="D4" s="3"/>
      <c r="E4" s="1"/>
      <c r="F4" s="1"/>
      <c r="G4" s="2"/>
    </row>
    <row r="5" spans="1:7" x14ac:dyDescent="0.45">
      <c r="A5" s="2"/>
      <c r="B5" s="2"/>
      <c r="C5" s="2"/>
      <c r="D5" s="3"/>
      <c r="E5" s="1"/>
      <c r="F5" s="1"/>
      <c r="G5" s="2"/>
    </row>
    <row r="6" spans="1:7" x14ac:dyDescent="0.45">
      <c r="A6" s="2"/>
      <c r="B6" s="2"/>
      <c r="C6" s="2"/>
      <c r="D6" s="3"/>
      <c r="E6" s="1"/>
      <c r="F6" s="1"/>
      <c r="G6" s="2"/>
    </row>
    <row r="7" spans="1:7" x14ac:dyDescent="0.45">
      <c r="A7" s="2"/>
      <c r="B7" s="2"/>
      <c r="C7" s="2"/>
      <c r="D7" s="3"/>
      <c r="E7" s="1"/>
      <c r="F7" s="1"/>
      <c r="G7" s="2"/>
    </row>
    <row r="8" spans="1:7" x14ac:dyDescent="0.45">
      <c r="A8" s="2"/>
      <c r="B8" s="2"/>
      <c r="C8" s="2"/>
      <c r="D8" s="3"/>
      <c r="E8" s="1"/>
      <c r="F8" s="1"/>
      <c r="G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205F-A69B-43B4-98AD-C9A4D7E3AD82}">
  <dimension ref="A1:F10"/>
  <sheetViews>
    <sheetView workbookViewId="0"/>
  </sheetViews>
  <sheetFormatPr defaultRowHeight="17" x14ac:dyDescent="0.45"/>
  <cols>
    <col min="1" max="1" width="12.33203125" bestFit="1" customWidth="1"/>
    <col min="2" max="2" width="23.58203125" customWidth="1"/>
    <col min="3" max="3" width="11.08203125" bestFit="1" customWidth="1"/>
  </cols>
  <sheetData>
    <row r="1" spans="1:6" x14ac:dyDescent="0.45">
      <c r="A1" t="s">
        <v>16</v>
      </c>
    </row>
    <row r="3" spans="1:6" x14ac:dyDescent="0.45">
      <c r="A3" s="2" t="s">
        <v>2</v>
      </c>
      <c r="B3" s="2" t="s">
        <v>3</v>
      </c>
      <c r="C3" s="2" t="s">
        <v>7</v>
      </c>
      <c r="D3" s="2" t="s">
        <v>4</v>
      </c>
      <c r="E3" s="2" t="s">
        <v>6</v>
      </c>
      <c r="F3" s="2" t="s">
        <v>5</v>
      </c>
    </row>
    <row r="4" spans="1:6" x14ac:dyDescent="0.45">
      <c r="A4" s="2" t="s">
        <v>8</v>
      </c>
      <c r="B4" s="3">
        <v>36923</v>
      </c>
      <c r="C4" s="2" t="s">
        <v>15</v>
      </c>
      <c r="D4">
        <v>57381</v>
      </c>
      <c r="E4" s="2">
        <v>1.65</v>
      </c>
      <c r="F4">
        <v>524587</v>
      </c>
    </row>
    <row r="5" spans="1:6" x14ac:dyDescent="0.45">
      <c r="A5" s="2" t="s">
        <v>9</v>
      </c>
      <c r="B5" s="3">
        <v>34977</v>
      </c>
      <c r="C5" s="2" t="s">
        <v>17</v>
      </c>
      <c r="D5">
        <v>63149</v>
      </c>
      <c r="E5" s="2">
        <v>0.92</v>
      </c>
      <c r="F5">
        <v>468014</v>
      </c>
    </row>
    <row r="6" spans="1:6" x14ac:dyDescent="0.45">
      <c r="A6" s="2" t="s">
        <v>10</v>
      </c>
      <c r="B6" s="3">
        <v>35919</v>
      </c>
      <c r="C6" s="2" t="s">
        <v>18</v>
      </c>
      <c r="D6">
        <v>43682</v>
      </c>
      <c r="E6" s="2">
        <v>1.18</v>
      </c>
      <c r="F6">
        <v>738992</v>
      </c>
    </row>
    <row r="7" spans="1:6" x14ac:dyDescent="0.45">
      <c r="A7" s="2" t="s">
        <v>11</v>
      </c>
      <c r="B7" s="3">
        <v>41376</v>
      </c>
      <c r="C7" s="2" t="s">
        <v>19</v>
      </c>
      <c r="D7">
        <v>50075</v>
      </c>
      <c r="E7" s="2">
        <v>1.27</v>
      </c>
      <c r="F7">
        <v>506347</v>
      </c>
    </row>
    <row r="8" spans="1:6" x14ac:dyDescent="0.45">
      <c r="A8" s="2" t="s">
        <v>12</v>
      </c>
      <c r="B8" s="3">
        <v>38598</v>
      </c>
      <c r="C8" s="2" t="s">
        <v>20</v>
      </c>
      <c r="D8">
        <v>43908</v>
      </c>
      <c r="E8" s="2">
        <v>1.52</v>
      </c>
      <c r="F8">
        <v>313363</v>
      </c>
    </row>
    <row r="9" spans="1:6" x14ac:dyDescent="0.45">
      <c r="A9" s="2" t="s">
        <v>13</v>
      </c>
      <c r="B9" s="3">
        <v>39619</v>
      </c>
      <c r="C9" s="2" t="s">
        <v>21</v>
      </c>
      <c r="D9">
        <v>49381</v>
      </c>
      <c r="E9" s="2">
        <v>1.49</v>
      </c>
      <c r="F9">
        <v>638245</v>
      </c>
    </row>
    <row r="10" spans="1:6" x14ac:dyDescent="0.45">
      <c r="A10" s="2" t="s">
        <v>14</v>
      </c>
      <c r="B10" s="3">
        <v>37956</v>
      </c>
      <c r="C10" s="2" t="s">
        <v>22</v>
      </c>
      <c r="D10">
        <v>56317</v>
      </c>
      <c r="E10" s="2">
        <v>1.28</v>
      </c>
      <c r="F10">
        <v>525397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7F-3407-4F6C-BFC2-D8395D61B8B8}">
  <dimension ref="A1:F15"/>
  <sheetViews>
    <sheetView workbookViewId="0">
      <selection sqref="A1:F1"/>
    </sheetView>
  </sheetViews>
  <sheetFormatPr defaultRowHeight="17" x14ac:dyDescent="0.45"/>
  <cols>
    <col min="1" max="1" width="11.58203125" customWidth="1"/>
    <col min="2" max="2" width="12.58203125" customWidth="1"/>
    <col min="6" max="6" width="13.58203125" customWidth="1"/>
  </cols>
  <sheetData>
    <row r="1" spans="1:6" ht="21" x14ac:dyDescent="0.45">
      <c r="A1" s="22" t="s">
        <v>23</v>
      </c>
      <c r="B1" s="22"/>
      <c r="C1" s="22"/>
      <c r="D1" s="22"/>
      <c r="E1" s="22"/>
      <c r="F1" s="22"/>
    </row>
    <row r="3" spans="1:6" x14ac:dyDescent="0.45">
      <c r="A3" s="4" t="s">
        <v>24</v>
      </c>
      <c r="B3" s="4" t="s">
        <v>25</v>
      </c>
      <c r="C3" s="4" t="s">
        <v>26</v>
      </c>
      <c r="D3" s="4" t="s">
        <v>1</v>
      </c>
      <c r="E3" s="4" t="s">
        <v>27</v>
      </c>
      <c r="F3" s="4" t="s">
        <v>28</v>
      </c>
    </row>
    <row r="4" spans="1:6" x14ac:dyDescent="0.45">
      <c r="A4" s="4" t="s">
        <v>29</v>
      </c>
      <c r="B4" s="5">
        <v>45383</v>
      </c>
      <c r="C4" s="6">
        <v>1000</v>
      </c>
      <c r="D4" s="6">
        <v>836</v>
      </c>
      <c r="E4" s="6">
        <v>4200</v>
      </c>
      <c r="F4" s="6">
        <f>D4*E4</f>
        <v>3511200</v>
      </c>
    </row>
    <row r="5" spans="1:6" x14ac:dyDescent="0.45">
      <c r="A5" s="4" t="s">
        <v>30</v>
      </c>
      <c r="B5" s="5">
        <v>45384</v>
      </c>
      <c r="C5" s="6">
        <v>650</v>
      </c>
      <c r="D5" s="6">
        <v>524</v>
      </c>
      <c r="E5" s="6">
        <v>9900</v>
      </c>
      <c r="F5" s="6">
        <f t="shared" ref="F5:F15" si="0">D5*E5</f>
        <v>5187600</v>
      </c>
    </row>
    <row r="6" spans="1:6" x14ac:dyDescent="0.45">
      <c r="A6" s="4" t="s">
        <v>31</v>
      </c>
      <c r="B6" s="5">
        <v>45385</v>
      </c>
      <c r="C6" s="6">
        <v>400</v>
      </c>
      <c r="D6" s="6">
        <v>392</v>
      </c>
      <c r="E6" s="6">
        <v>12000</v>
      </c>
      <c r="F6" s="6">
        <f t="shared" si="0"/>
        <v>4704000</v>
      </c>
    </row>
    <row r="7" spans="1:6" x14ac:dyDescent="0.45">
      <c r="A7" s="4" t="s">
        <v>32</v>
      </c>
      <c r="B7" s="5">
        <v>45386</v>
      </c>
      <c r="C7" s="6">
        <v>1550</v>
      </c>
      <c r="D7" s="6">
        <v>1499</v>
      </c>
      <c r="E7" s="6">
        <v>7000</v>
      </c>
      <c r="F7" s="6">
        <f t="shared" si="0"/>
        <v>10493000</v>
      </c>
    </row>
    <row r="8" spans="1:6" x14ac:dyDescent="0.45">
      <c r="A8" s="4" t="s">
        <v>33</v>
      </c>
      <c r="B8" s="5">
        <v>45387</v>
      </c>
      <c r="C8" s="6">
        <v>300</v>
      </c>
      <c r="D8" s="6">
        <v>236</v>
      </c>
      <c r="E8" s="6">
        <v>11500</v>
      </c>
      <c r="F8" s="6">
        <f t="shared" si="0"/>
        <v>2714000</v>
      </c>
    </row>
    <row r="9" spans="1:6" x14ac:dyDescent="0.45">
      <c r="A9" s="4" t="s">
        <v>34</v>
      </c>
      <c r="B9" s="5">
        <v>45388</v>
      </c>
      <c r="C9" s="6">
        <v>800</v>
      </c>
      <c r="D9" s="6">
        <v>786</v>
      </c>
      <c r="E9" s="6">
        <v>4480</v>
      </c>
      <c r="F9" s="6">
        <f t="shared" si="0"/>
        <v>3521280</v>
      </c>
    </row>
    <row r="10" spans="1:6" x14ac:dyDescent="0.45">
      <c r="A10" s="4" t="s">
        <v>35</v>
      </c>
      <c r="B10" s="5">
        <v>45389</v>
      </c>
      <c r="C10" s="6">
        <v>250</v>
      </c>
      <c r="D10" s="6">
        <v>192</v>
      </c>
      <c r="E10" s="6">
        <v>13600</v>
      </c>
      <c r="F10" s="6">
        <f t="shared" si="0"/>
        <v>2611200</v>
      </c>
    </row>
    <row r="11" spans="1:6" x14ac:dyDescent="0.45">
      <c r="A11" s="4" t="s">
        <v>36</v>
      </c>
      <c r="B11" s="5">
        <v>45390</v>
      </c>
      <c r="C11" s="6">
        <v>150</v>
      </c>
      <c r="D11" s="6">
        <v>106</v>
      </c>
      <c r="E11" s="6">
        <v>23500</v>
      </c>
      <c r="F11" s="6">
        <f t="shared" si="0"/>
        <v>2491000</v>
      </c>
    </row>
    <row r="12" spans="1:6" x14ac:dyDescent="0.45">
      <c r="A12" s="4" t="s">
        <v>37</v>
      </c>
      <c r="B12" s="5">
        <v>45391</v>
      </c>
      <c r="C12" s="6">
        <v>200</v>
      </c>
      <c r="D12" s="6">
        <v>149</v>
      </c>
      <c r="E12" s="6">
        <v>32600</v>
      </c>
      <c r="F12" s="6">
        <f t="shared" si="0"/>
        <v>4857400</v>
      </c>
    </row>
    <row r="13" spans="1:6" x14ac:dyDescent="0.45">
      <c r="A13" s="4" t="s">
        <v>38</v>
      </c>
      <c r="B13" s="5">
        <v>45392</v>
      </c>
      <c r="C13" s="6">
        <v>300</v>
      </c>
      <c r="D13" s="6">
        <v>276</v>
      </c>
      <c r="E13" s="6">
        <v>15900</v>
      </c>
      <c r="F13" s="6">
        <f t="shared" si="0"/>
        <v>4388400</v>
      </c>
    </row>
    <row r="14" spans="1:6" x14ac:dyDescent="0.45">
      <c r="A14" s="4" t="s">
        <v>39</v>
      </c>
      <c r="B14" s="5">
        <v>45393</v>
      </c>
      <c r="C14" s="6">
        <v>450</v>
      </c>
      <c r="D14" s="6">
        <v>429</v>
      </c>
      <c r="E14" s="6">
        <v>9800</v>
      </c>
      <c r="F14" s="6">
        <f t="shared" si="0"/>
        <v>4204200</v>
      </c>
    </row>
    <row r="15" spans="1:6" x14ac:dyDescent="0.45">
      <c r="A15" s="4" t="s">
        <v>40</v>
      </c>
      <c r="B15" s="5">
        <v>45394</v>
      </c>
      <c r="C15" s="6">
        <v>350</v>
      </c>
      <c r="D15" s="6">
        <v>331</v>
      </c>
      <c r="E15" s="6">
        <v>11600</v>
      </c>
      <c r="F15" s="6">
        <f t="shared" si="0"/>
        <v>3839600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FCE2-7ED6-4B19-B3BF-5CE2B87CE1D8}">
  <dimension ref="A1:L36"/>
  <sheetViews>
    <sheetView workbookViewId="0"/>
  </sheetViews>
  <sheetFormatPr defaultRowHeight="17" x14ac:dyDescent="0.45"/>
  <cols>
    <col min="2" max="2" width="10.75" bestFit="1" customWidth="1"/>
    <col min="4" max="4" width="10.58203125" bestFit="1" customWidth="1"/>
    <col min="9" max="9" width="8.6640625" customWidth="1"/>
  </cols>
  <sheetData>
    <row r="1" spans="1:11" x14ac:dyDescent="0.45">
      <c r="A1" s="14" t="s">
        <v>100</v>
      </c>
      <c r="B1" s="15" t="s">
        <v>180</v>
      </c>
      <c r="F1" s="14" t="s">
        <v>101</v>
      </c>
      <c r="G1" s="15" t="s">
        <v>111</v>
      </c>
    </row>
    <row r="2" spans="1:11" x14ac:dyDescent="0.45">
      <c r="A2" s="19" t="s">
        <v>181</v>
      </c>
      <c r="B2" s="19" t="s">
        <v>69</v>
      </c>
      <c r="C2" s="19" t="s">
        <v>182</v>
      </c>
      <c r="D2" s="20" t="s">
        <v>195</v>
      </c>
      <c r="F2" s="13" t="s">
        <v>103</v>
      </c>
      <c r="G2" s="13" t="s">
        <v>112</v>
      </c>
      <c r="H2" s="13" t="s">
        <v>113</v>
      </c>
      <c r="I2" s="13" t="s">
        <v>108</v>
      </c>
      <c r="J2" s="13" t="s">
        <v>114</v>
      </c>
      <c r="K2" s="16" t="s">
        <v>109</v>
      </c>
    </row>
    <row r="3" spans="1:11" x14ac:dyDescent="0.45">
      <c r="A3" s="19" t="s">
        <v>183</v>
      </c>
      <c r="B3" s="19" t="s">
        <v>184</v>
      </c>
      <c r="C3" s="19">
        <v>120</v>
      </c>
      <c r="D3" s="19"/>
      <c r="F3" s="13" t="s">
        <v>119</v>
      </c>
      <c r="G3" s="13">
        <v>82</v>
      </c>
      <c r="H3" s="13">
        <v>94</v>
      </c>
      <c r="I3" s="13">
        <v>86</v>
      </c>
      <c r="J3" s="13">
        <f>SUM(G3:I3)</f>
        <v>262</v>
      </c>
      <c r="K3" s="13"/>
    </row>
    <row r="4" spans="1:11" x14ac:dyDescent="0.45">
      <c r="A4" s="19" t="s">
        <v>192</v>
      </c>
      <c r="B4" s="19" t="s">
        <v>185</v>
      </c>
      <c r="C4" s="19">
        <v>100</v>
      </c>
      <c r="D4" s="21"/>
      <c r="F4" s="13" t="s">
        <v>118</v>
      </c>
      <c r="G4" s="13">
        <v>69</v>
      </c>
      <c r="H4" s="13">
        <v>88</v>
      </c>
      <c r="I4" s="13">
        <v>62</v>
      </c>
      <c r="J4" s="13">
        <f t="shared" ref="J4:J11" si="0">SUM(G4:I4)</f>
        <v>219</v>
      </c>
      <c r="K4" s="13"/>
    </row>
    <row r="5" spans="1:11" x14ac:dyDescent="0.45">
      <c r="A5" s="19" t="s">
        <v>186</v>
      </c>
      <c r="B5" s="19" t="s">
        <v>184</v>
      </c>
      <c r="C5" s="19">
        <v>150</v>
      </c>
      <c r="D5" s="21"/>
      <c r="F5" s="13" t="s">
        <v>117</v>
      </c>
      <c r="G5" s="13">
        <v>91</v>
      </c>
      <c r="H5" s="13">
        <v>95</v>
      </c>
      <c r="I5" s="13">
        <v>97</v>
      </c>
      <c r="J5" s="13">
        <f t="shared" si="0"/>
        <v>283</v>
      </c>
      <c r="K5" s="13"/>
    </row>
    <row r="6" spans="1:11" x14ac:dyDescent="0.45">
      <c r="A6" s="19" t="s">
        <v>194</v>
      </c>
      <c r="B6" s="19" t="s">
        <v>184</v>
      </c>
      <c r="C6" s="19">
        <v>180</v>
      </c>
      <c r="D6" s="21"/>
      <c r="F6" s="13" t="s">
        <v>120</v>
      </c>
      <c r="G6" s="13">
        <v>80</v>
      </c>
      <c r="H6" s="13">
        <v>70</v>
      </c>
      <c r="I6" s="13">
        <v>79</v>
      </c>
      <c r="J6" s="13">
        <f t="shared" si="0"/>
        <v>229</v>
      </c>
      <c r="K6" s="13"/>
    </row>
    <row r="7" spans="1:11" x14ac:dyDescent="0.45">
      <c r="A7" s="19" t="s">
        <v>187</v>
      </c>
      <c r="B7" s="19" t="s">
        <v>185</v>
      </c>
      <c r="C7" s="19">
        <v>130</v>
      </c>
      <c r="D7" s="21"/>
      <c r="F7" s="13" t="s">
        <v>116</v>
      </c>
      <c r="G7" s="13">
        <v>77</v>
      </c>
      <c r="H7" s="13">
        <v>71</v>
      </c>
      <c r="I7" s="13">
        <v>69</v>
      </c>
      <c r="J7" s="13">
        <f t="shared" si="0"/>
        <v>217</v>
      </c>
      <c r="K7" s="13"/>
    </row>
    <row r="8" spans="1:11" x14ac:dyDescent="0.45">
      <c r="A8" s="19" t="s">
        <v>188</v>
      </c>
      <c r="B8" s="19" t="s">
        <v>185</v>
      </c>
      <c r="C8" s="19">
        <v>120</v>
      </c>
      <c r="D8" s="21"/>
      <c r="F8" s="13" t="s">
        <v>121</v>
      </c>
      <c r="G8" s="13">
        <v>96</v>
      </c>
      <c r="H8" s="13">
        <v>93</v>
      </c>
      <c r="I8" s="13">
        <v>95</v>
      </c>
      <c r="J8" s="13">
        <f t="shared" si="0"/>
        <v>284</v>
      </c>
      <c r="K8" s="13"/>
    </row>
    <row r="9" spans="1:11" x14ac:dyDescent="0.45">
      <c r="A9" s="19" t="s">
        <v>189</v>
      </c>
      <c r="B9" s="19" t="s">
        <v>190</v>
      </c>
      <c r="C9" s="19">
        <v>160</v>
      </c>
      <c r="D9" s="21"/>
      <c r="F9" s="13" t="s">
        <v>115</v>
      </c>
      <c r="G9" s="13">
        <v>84</v>
      </c>
      <c r="H9" s="13">
        <v>88</v>
      </c>
      <c r="I9" s="13">
        <v>91</v>
      </c>
      <c r="J9" s="13">
        <f t="shared" si="0"/>
        <v>263</v>
      </c>
      <c r="K9" s="13"/>
    </row>
    <row r="10" spans="1:11" x14ac:dyDescent="0.45">
      <c r="A10" s="19" t="s">
        <v>191</v>
      </c>
      <c r="B10" s="19" t="s">
        <v>190</v>
      </c>
      <c r="C10" s="19">
        <v>150</v>
      </c>
      <c r="D10" s="21"/>
      <c r="F10" s="13" t="s">
        <v>122</v>
      </c>
      <c r="G10" s="13">
        <v>94</v>
      </c>
      <c r="H10" s="13">
        <v>90</v>
      </c>
      <c r="I10" s="13">
        <v>90</v>
      </c>
      <c r="J10" s="13">
        <f t="shared" si="0"/>
        <v>274</v>
      </c>
      <c r="K10" s="13"/>
    </row>
    <row r="11" spans="1:11" x14ac:dyDescent="0.45">
      <c r="A11" s="19" t="s">
        <v>193</v>
      </c>
      <c r="B11" s="19" t="s">
        <v>185</v>
      </c>
      <c r="C11" s="19">
        <v>180</v>
      </c>
      <c r="D11" s="21"/>
      <c r="F11" s="13" t="s">
        <v>123</v>
      </c>
      <c r="G11" s="13">
        <v>86</v>
      </c>
      <c r="H11" s="13">
        <v>84</v>
      </c>
      <c r="I11" s="13">
        <v>87</v>
      </c>
      <c r="J11" s="13">
        <f t="shared" si="0"/>
        <v>257</v>
      </c>
      <c r="K11" s="13"/>
    </row>
    <row r="13" spans="1:11" x14ac:dyDescent="0.45">
      <c r="A13" s="14" t="s">
        <v>124</v>
      </c>
      <c r="B13" s="15" t="s">
        <v>126</v>
      </c>
      <c r="F13" t="s">
        <v>110</v>
      </c>
    </row>
    <row r="14" spans="1:11" x14ac:dyDescent="0.45">
      <c r="A14" s="13" t="s">
        <v>128</v>
      </c>
      <c r="B14" s="13" t="s">
        <v>24</v>
      </c>
      <c r="C14" s="13" t="s">
        <v>125</v>
      </c>
      <c r="D14" s="13" t="s">
        <v>127</v>
      </c>
      <c r="F14" s="13" t="s">
        <v>102</v>
      </c>
      <c r="G14" s="13">
        <v>1</v>
      </c>
      <c r="H14" s="13">
        <v>4</v>
      </c>
      <c r="I14" s="13">
        <v>6</v>
      </c>
      <c r="J14" s="13">
        <v>8</v>
      </c>
    </row>
    <row r="15" spans="1:11" x14ac:dyDescent="0.45">
      <c r="A15" s="13" t="s">
        <v>134</v>
      </c>
      <c r="B15" s="13" t="s">
        <v>136</v>
      </c>
      <c r="C15" s="13">
        <v>23</v>
      </c>
      <c r="D15" s="6">
        <v>41400</v>
      </c>
      <c r="F15" s="13" t="s">
        <v>109</v>
      </c>
      <c r="G15" s="13" t="s">
        <v>104</v>
      </c>
      <c r="H15" s="13" t="s">
        <v>105</v>
      </c>
      <c r="I15" s="13" t="s">
        <v>106</v>
      </c>
      <c r="J15" s="13" t="s">
        <v>107</v>
      </c>
    </row>
    <row r="16" spans="1:11" x14ac:dyDescent="0.45">
      <c r="A16" s="13" t="s">
        <v>129</v>
      </c>
      <c r="B16" s="13" t="s">
        <v>130</v>
      </c>
      <c r="C16" s="13">
        <v>37</v>
      </c>
      <c r="D16" s="6">
        <v>74000</v>
      </c>
    </row>
    <row r="17" spans="1:9" x14ac:dyDescent="0.45">
      <c r="A17" s="13" t="s">
        <v>129</v>
      </c>
      <c r="B17" s="13" t="s">
        <v>131</v>
      </c>
      <c r="C17" s="13">
        <v>51</v>
      </c>
      <c r="D17" s="6">
        <v>84150</v>
      </c>
    </row>
    <row r="18" spans="1:9" x14ac:dyDescent="0.45">
      <c r="A18" s="13" t="s">
        <v>129</v>
      </c>
      <c r="B18" s="13" t="s">
        <v>132</v>
      </c>
      <c r="C18" s="13">
        <v>19</v>
      </c>
      <c r="D18" s="6">
        <v>23750</v>
      </c>
    </row>
    <row r="19" spans="1:9" x14ac:dyDescent="0.45">
      <c r="A19" s="13" t="s">
        <v>134</v>
      </c>
      <c r="B19" s="13" t="s">
        <v>137</v>
      </c>
      <c r="C19" s="13">
        <v>34</v>
      </c>
      <c r="D19" s="6">
        <v>74800</v>
      </c>
    </row>
    <row r="20" spans="1:9" x14ac:dyDescent="0.45">
      <c r="A20" s="13" t="s">
        <v>134</v>
      </c>
      <c r="B20" s="13" t="s">
        <v>138</v>
      </c>
      <c r="C20" s="13">
        <v>22</v>
      </c>
      <c r="D20" s="6">
        <v>79200</v>
      </c>
    </row>
    <row r="21" spans="1:9" x14ac:dyDescent="0.45">
      <c r="A21" s="13" t="s">
        <v>129</v>
      </c>
      <c r="B21" s="13" t="s">
        <v>133</v>
      </c>
      <c r="C21" s="13">
        <v>65</v>
      </c>
      <c r="D21" s="6">
        <v>71500</v>
      </c>
      <c r="F21" s="2" t="s">
        <v>140</v>
      </c>
    </row>
    <row r="22" spans="1:9" x14ac:dyDescent="0.45">
      <c r="A22" s="13" t="s">
        <v>134</v>
      </c>
      <c r="B22" s="13" t="s">
        <v>135</v>
      </c>
      <c r="C22" s="13">
        <v>24</v>
      </c>
      <c r="D22" s="6">
        <v>84000</v>
      </c>
      <c r="F22" s="13"/>
    </row>
    <row r="23" spans="1:9" x14ac:dyDescent="0.45">
      <c r="A23" s="23" t="s">
        <v>139</v>
      </c>
      <c r="B23" s="24"/>
      <c r="C23" s="25"/>
      <c r="D23" s="6"/>
      <c r="F23" s="13"/>
    </row>
    <row r="25" spans="1:9" x14ac:dyDescent="0.45">
      <c r="A25" s="14" t="s">
        <v>141</v>
      </c>
      <c r="B25" s="15" t="s">
        <v>142</v>
      </c>
      <c r="F25" s="14" t="s">
        <v>160</v>
      </c>
      <c r="G25" s="15" t="s">
        <v>165</v>
      </c>
      <c r="I25" s="18" t="s">
        <v>177</v>
      </c>
    </row>
    <row r="26" spans="1:9" x14ac:dyDescent="0.45">
      <c r="A26" s="10" t="s">
        <v>143</v>
      </c>
      <c r="B26" s="10" t="s">
        <v>146</v>
      </c>
      <c r="C26" s="13" t="s">
        <v>145</v>
      </c>
      <c r="D26" s="13" t="s">
        <v>144</v>
      </c>
      <c r="F26" s="13" t="s">
        <v>166</v>
      </c>
      <c r="G26" s="13" t="s">
        <v>161</v>
      </c>
      <c r="H26" s="13" t="s">
        <v>162</v>
      </c>
      <c r="I26" s="13" t="s">
        <v>72</v>
      </c>
    </row>
    <row r="27" spans="1:9" x14ac:dyDescent="0.45">
      <c r="A27" s="13" t="s">
        <v>147</v>
      </c>
      <c r="B27" s="13" t="s">
        <v>156</v>
      </c>
      <c r="C27" s="13">
        <v>8.1</v>
      </c>
      <c r="D27" s="6">
        <v>2524124</v>
      </c>
      <c r="F27" s="13" t="s">
        <v>168</v>
      </c>
      <c r="G27" s="13" t="s">
        <v>163</v>
      </c>
      <c r="H27" s="13">
        <v>12.4</v>
      </c>
      <c r="I27" s="7">
        <v>3650</v>
      </c>
    </row>
    <row r="28" spans="1:9" x14ac:dyDescent="0.45">
      <c r="A28" s="13" t="s">
        <v>148</v>
      </c>
      <c r="B28" s="13" t="s">
        <v>155</v>
      </c>
      <c r="C28" s="13">
        <v>6.7</v>
      </c>
      <c r="D28" s="6">
        <v>1835991</v>
      </c>
      <c r="F28" s="13" t="s">
        <v>169</v>
      </c>
      <c r="G28" s="13" t="s">
        <v>164</v>
      </c>
      <c r="H28" s="13">
        <v>13.8</v>
      </c>
      <c r="I28" s="7">
        <v>4210</v>
      </c>
    </row>
    <row r="29" spans="1:9" x14ac:dyDescent="0.45">
      <c r="A29" s="13" t="s">
        <v>158</v>
      </c>
      <c r="B29" s="13" t="s">
        <v>155</v>
      </c>
      <c r="C29" s="13">
        <v>8.8000000000000007</v>
      </c>
      <c r="D29" s="6">
        <v>3365725</v>
      </c>
      <c r="F29" s="13" t="s">
        <v>170</v>
      </c>
      <c r="G29" s="13" t="s">
        <v>167</v>
      </c>
      <c r="H29" s="13">
        <v>14.2</v>
      </c>
      <c r="I29" s="7">
        <v>5100</v>
      </c>
    </row>
    <row r="30" spans="1:9" x14ac:dyDescent="0.45">
      <c r="A30" s="13" t="s">
        <v>151</v>
      </c>
      <c r="B30" s="13" t="s">
        <v>156</v>
      </c>
      <c r="C30" s="13">
        <v>9.4</v>
      </c>
      <c r="D30" s="6">
        <v>6189472</v>
      </c>
      <c r="F30" s="13" t="s">
        <v>172</v>
      </c>
      <c r="G30" s="13" t="s">
        <v>167</v>
      </c>
      <c r="H30" s="13">
        <v>12.5</v>
      </c>
      <c r="I30" s="7">
        <v>4980</v>
      </c>
    </row>
    <row r="31" spans="1:9" x14ac:dyDescent="0.45">
      <c r="A31" s="13" t="s">
        <v>149</v>
      </c>
      <c r="B31" s="13" t="s">
        <v>157</v>
      </c>
      <c r="C31" s="13">
        <v>7.1</v>
      </c>
      <c r="D31" s="6">
        <v>1365543</v>
      </c>
      <c r="F31" s="13" t="s">
        <v>179</v>
      </c>
      <c r="G31" s="13" t="s">
        <v>163</v>
      </c>
      <c r="H31" s="13">
        <v>11.8</v>
      </c>
      <c r="I31" s="7">
        <v>3250</v>
      </c>
    </row>
    <row r="32" spans="1:9" x14ac:dyDescent="0.45">
      <c r="A32" s="13" t="s">
        <v>153</v>
      </c>
      <c r="B32" s="13" t="s">
        <v>155</v>
      </c>
      <c r="C32" s="13">
        <v>8.5</v>
      </c>
      <c r="D32" s="6">
        <v>5395001</v>
      </c>
      <c r="F32" s="13" t="s">
        <v>173</v>
      </c>
      <c r="G32" s="13" t="s">
        <v>164</v>
      </c>
      <c r="H32" s="13">
        <v>12.5</v>
      </c>
      <c r="I32" s="7">
        <v>2880</v>
      </c>
    </row>
    <row r="33" spans="1:12" x14ac:dyDescent="0.45">
      <c r="A33" s="13" t="s">
        <v>150</v>
      </c>
      <c r="B33" s="13" t="s">
        <v>156</v>
      </c>
      <c r="C33" s="13">
        <v>8.1</v>
      </c>
      <c r="D33" s="6">
        <v>2654872</v>
      </c>
      <c r="F33" s="13" t="s">
        <v>175</v>
      </c>
      <c r="G33" s="13" t="s">
        <v>163</v>
      </c>
      <c r="H33" s="13">
        <v>14.3</v>
      </c>
      <c r="I33" s="7">
        <v>4670</v>
      </c>
    </row>
    <row r="34" spans="1:12" x14ac:dyDescent="0.45">
      <c r="A34" s="13" t="s">
        <v>152</v>
      </c>
      <c r="B34" s="13" t="s">
        <v>157</v>
      </c>
      <c r="C34" s="13">
        <v>7.5</v>
      </c>
      <c r="D34" s="6">
        <v>2204589</v>
      </c>
      <c r="F34" s="13" t="s">
        <v>174</v>
      </c>
      <c r="G34" s="13" t="s">
        <v>164</v>
      </c>
      <c r="H34" s="13">
        <v>15.2</v>
      </c>
      <c r="I34" s="7">
        <v>2260</v>
      </c>
      <c r="J34" s="27" t="s">
        <v>178</v>
      </c>
      <c r="K34" s="28"/>
      <c r="L34" s="28"/>
    </row>
    <row r="35" spans="1:12" x14ac:dyDescent="0.45">
      <c r="A35" s="13" t="s">
        <v>154</v>
      </c>
      <c r="B35" s="13" t="s">
        <v>155</v>
      </c>
      <c r="C35" s="13">
        <v>92</v>
      </c>
      <c r="D35" s="6">
        <v>1854204</v>
      </c>
      <c r="F35" s="13" t="s">
        <v>171</v>
      </c>
      <c r="G35" s="13" t="s">
        <v>167</v>
      </c>
      <c r="H35" s="13">
        <v>11.4</v>
      </c>
      <c r="I35" s="7">
        <v>4840</v>
      </c>
      <c r="J35" s="28"/>
      <c r="K35" s="28"/>
      <c r="L35" s="28"/>
    </row>
    <row r="36" spans="1:12" x14ac:dyDescent="0.45">
      <c r="A36" s="23" t="s">
        <v>159</v>
      </c>
      <c r="B36" s="24"/>
      <c r="C36" s="25"/>
      <c r="D36" s="17"/>
      <c r="F36" s="13" t="s">
        <v>176</v>
      </c>
      <c r="G36" s="13" t="s">
        <v>163</v>
      </c>
      <c r="H36" s="13">
        <v>12.7</v>
      </c>
      <c r="I36" s="7">
        <v>4190</v>
      </c>
      <c r="J36" s="26"/>
      <c r="K36" s="26"/>
      <c r="L36" s="26"/>
    </row>
  </sheetData>
  <mergeCells count="4">
    <mergeCell ref="A23:C23"/>
    <mergeCell ref="A36:C36"/>
    <mergeCell ref="J36:L36"/>
    <mergeCell ref="J34:L3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0730-2411-4EC2-88BC-755271F84944}">
  <dimension ref="A1:G14"/>
  <sheetViews>
    <sheetView workbookViewId="0">
      <selection sqref="A1:G1"/>
    </sheetView>
  </sheetViews>
  <sheetFormatPr defaultRowHeight="17" x14ac:dyDescent="0.45"/>
  <cols>
    <col min="1" max="1" width="14.33203125" bestFit="1" customWidth="1"/>
    <col min="7" max="7" width="10.58203125" bestFit="1" customWidth="1"/>
  </cols>
  <sheetData>
    <row r="1" spans="1:7" ht="21" x14ac:dyDescent="0.45">
      <c r="A1" s="22" t="s">
        <v>67</v>
      </c>
      <c r="B1" s="22"/>
      <c r="C1" s="22"/>
      <c r="D1" s="22"/>
      <c r="E1" s="22"/>
      <c r="F1" s="22"/>
      <c r="G1" s="22"/>
    </row>
    <row r="3" spans="1:7" x14ac:dyDescent="0.45">
      <c r="A3" s="4" t="s">
        <v>68</v>
      </c>
      <c r="B3" s="4" t="s">
        <v>69</v>
      </c>
      <c r="C3" s="4" t="s">
        <v>70</v>
      </c>
      <c r="D3" s="4" t="s">
        <v>71</v>
      </c>
      <c r="E3" s="4" t="s">
        <v>72</v>
      </c>
      <c r="F3" s="4" t="s">
        <v>1</v>
      </c>
      <c r="G3" s="4" t="s">
        <v>73</v>
      </c>
    </row>
    <row r="4" spans="1:7" x14ac:dyDescent="0.45">
      <c r="A4" s="4" t="s">
        <v>78</v>
      </c>
      <c r="B4" s="4" t="s">
        <v>74</v>
      </c>
      <c r="C4" s="6">
        <v>682</v>
      </c>
      <c r="D4" s="6">
        <v>925</v>
      </c>
      <c r="E4" s="6">
        <v>4500</v>
      </c>
      <c r="F4" s="6">
        <v>76</v>
      </c>
      <c r="G4" s="6">
        <f>E4*F4</f>
        <v>342000</v>
      </c>
    </row>
    <row r="5" spans="1:7" x14ac:dyDescent="0.45">
      <c r="A5" s="4" t="s">
        <v>84</v>
      </c>
      <c r="B5" s="4" t="s">
        <v>75</v>
      </c>
      <c r="C5" s="6">
        <v>963</v>
      </c>
      <c r="D5" s="6">
        <v>1341</v>
      </c>
      <c r="E5" s="6">
        <v>7800</v>
      </c>
      <c r="F5" s="6">
        <v>139</v>
      </c>
      <c r="G5" s="6">
        <f t="shared" ref="G5:G14" si="0">E5*F5</f>
        <v>1084200</v>
      </c>
    </row>
    <row r="6" spans="1:7" x14ac:dyDescent="0.45">
      <c r="A6" s="4" t="s">
        <v>81</v>
      </c>
      <c r="B6" s="4" t="s">
        <v>76</v>
      </c>
      <c r="C6" s="6">
        <v>49</v>
      </c>
      <c r="D6" s="6">
        <v>136</v>
      </c>
      <c r="E6" s="6">
        <v>1500</v>
      </c>
      <c r="F6" s="6">
        <v>122</v>
      </c>
      <c r="G6" s="6">
        <f t="shared" si="0"/>
        <v>183000</v>
      </c>
    </row>
    <row r="7" spans="1:7" x14ac:dyDescent="0.45">
      <c r="A7" s="4" t="s">
        <v>79</v>
      </c>
      <c r="B7" s="4" t="s">
        <v>74</v>
      </c>
      <c r="C7" s="6">
        <v>627</v>
      </c>
      <c r="D7" s="6">
        <v>896</v>
      </c>
      <c r="E7" s="6">
        <v>4700</v>
      </c>
      <c r="F7" s="6">
        <v>58</v>
      </c>
      <c r="G7" s="6">
        <f t="shared" si="0"/>
        <v>272600</v>
      </c>
    </row>
    <row r="8" spans="1:7" x14ac:dyDescent="0.45">
      <c r="A8" s="4" t="s">
        <v>83</v>
      </c>
      <c r="B8" s="4" t="s">
        <v>75</v>
      </c>
      <c r="C8" s="6">
        <v>779</v>
      </c>
      <c r="D8" s="6">
        <v>1112</v>
      </c>
      <c r="E8" s="6">
        <v>6100</v>
      </c>
      <c r="F8" s="6">
        <v>91</v>
      </c>
      <c r="G8" s="6">
        <f t="shared" si="0"/>
        <v>555100</v>
      </c>
    </row>
    <row r="9" spans="1:7" x14ac:dyDescent="0.45">
      <c r="A9" s="4" t="s">
        <v>82</v>
      </c>
      <c r="B9" s="4" t="s">
        <v>76</v>
      </c>
      <c r="C9" s="6">
        <v>135</v>
      </c>
      <c r="D9" s="6">
        <v>370</v>
      </c>
      <c r="E9" s="6">
        <v>2400</v>
      </c>
      <c r="F9" s="6">
        <v>196</v>
      </c>
      <c r="G9" s="6">
        <f t="shared" si="0"/>
        <v>470400</v>
      </c>
    </row>
    <row r="10" spans="1:7" x14ac:dyDescent="0.45">
      <c r="A10" s="4" t="s">
        <v>86</v>
      </c>
      <c r="B10" s="4" t="s">
        <v>74</v>
      </c>
      <c r="C10" s="6">
        <v>769</v>
      </c>
      <c r="D10" s="6">
        <v>1169</v>
      </c>
      <c r="E10" s="6">
        <v>5100</v>
      </c>
      <c r="F10" s="6">
        <v>57</v>
      </c>
      <c r="G10" s="6">
        <f t="shared" si="0"/>
        <v>290700</v>
      </c>
    </row>
    <row r="11" spans="1:7" x14ac:dyDescent="0.45">
      <c r="A11" s="4" t="s">
        <v>80</v>
      </c>
      <c r="B11" s="4" t="s">
        <v>76</v>
      </c>
      <c r="C11" s="6">
        <v>156</v>
      </c>
      <c r="D11" s="6">
        <v>294</v>
      </c>
      <c r="E11" s="6">
        <v>2800</v>
      </c>
      <c r="F11" s="6">
        <v>156</v>
      </c>
      <c r="G11" s="6">
        <f t="shared" si="0"/>
        <v>436800</v>
      </c>
    </row>
    <row r="12" spans="1:7" x14ac:dyDescent="0.45">
      <c r="A12" s="4" t="s">
        <v>87</v>
      </c>
      <c r="B12" s="4" t="s">
        <v>75</v>
      </c>
      <c r="C12" s="6">
        <v>865</v>
      </c>
      <c r="D12" s="6">
        <v>1228</v>
      </c>
      <c r="E12" s="6">
        <v>6700</v>
      </c>
      <c r="F12" s="6">
        <v>94</v>
      </c>
      <c r="G12" s="6">
        <f t="shared" si="0"/>
        <v>629800</v>
      </c>
    </row>
    <row r="13" spans="1:7" x14ac:dyDescent="0.45">
      <c r="A13" s="4" t="s">
        <v>77</v>
      </c>
      <c r="B13" s="4" t="s">
        <v>74</v>
      </c>
      <c r="C13" s="6">
        <v>846</v>
      </c>
      <c r="D13" s="6">
        <v>1083</v>
      </c>
      <c r="E13" s="6">
        <v>6200</v>
      </c>
      <c r="F13" s="6">
        <v>52</v>
      </c>
      <c r="G13" s="6">
        <f t="shared" si="0"/>
        <v>322400</v>
      </c>
    </row>
    <row r="14" spans="1:7" x14ac:dyDescent="0.45">
      <c r="A14" s="4" t="s">
        <v>85</v>
      </c>
      <c r="B14" s="4" t="s">
        <v>75</v>
      </c>
      <c r="C14" s="6">
        <v>738</v>
      </c>
      <c r="D14" s="6">
        <v>1068</v>
      </c>
      <c r="E14" s="6">
        <v>5300</v>
      </c>
      <c r="F14" s="6">
        <v>108</v>
      </c>
      <c r="G14" s="6">
        <f t="shared" si="0"/>
        <v>572400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96A4C-0369-4E06-B92D-4F7C30170400}">
  <dimension ref="A1:G18"/>
  <sheetViews>
    <sheetView workbookViewId="0">
      <selection sqref="A1:E1"/>
    </sheetView>
  </sheetViews>
  <sheetFormatPr defaultRowHeight="17" x14ac:dyDescent="0.45"/>
  <cols>
    <col min="1" max="1" width="9.5" bestFit="1" customWidth="1"/>
    <col min="2" max="2" width="9.5" customWidth="1"/>
    <col min="4" max="4" width="11.6640625" bestFit="1" customWidth="1"/>
    <col min="5" max="5" width="10.58203125" bestFit="1" customWidth="1"/>
  </cols>
  <sheetData>
    <row r="1" spans="1:7" ht="21" x14ac:dyDescent="0.45">
      <c r="A1" s="22" t="s">
        <v>89</v>
      </c>
      <c r="B1" s="22"/>
      <c r="C1" s="22"/>
      <c r="D1" s="22"/>
      <c r="E1" s="22"/>
    </row>
    <row r="3" spans="1:7" x14ac:dyDescent="0.45">
      <c r="A3" s="4" t="s">
        <v>88</v>
      </c>
      <c r="B3" s="4" t="s">
        <v>91</v>
      </c>
      <c r="C3" s="4" t="s">
        <v>90</v>
      </c>
      <c r="D3" s="4" t="s">
        <v>28</v>
      </c>
      <c r="E3" s="4" t="s">
        <v>46</v>
      </c>
      <c r="G3" s="10" t="s">
        <v>99</v>
      </c>
    </row>
    <row r="4" spans="1:7" x14ac:dyDescent="0.45">
      <c r="A4" s="9">
        <v>45293</v>
      </c>
      <c r="B4" s="9" t="s">
        <v>92</v>
      </c>
      <c r="C4" s="6">
        <v>163</v>
      </c>
      <c r="D4" s="6">
        <v>2575400</v>
      </c>
      <c r="E4" s="6">
        <f>D4*$G$4</f>
        <v>386310</v>
      </c>
      <c r="G4" s="11">
        <v>0.15</v>
      </c>
    </row>
    <row r="5" spans="1:7" x14ac:dyDescent="0.45">
      <c r="A5" s="9">
        <v>45299</v>
      </c>
      <c r="B5" s="9" t="s">
        <v>93</v>
      </c>
      <c r="C5" s="6">
        <v>86</v>
      </c>
      <c r="D5" s="6">
        <v>1900600</v>
      </c>
      <c r="E5" s="6">
        <f t="shared" ref="E5:E7" si="0">D5*$G$4</f>
        <v>285090</v>
      </c>
    </row>
    <row r="6" spans="1:7" x14ac:dyDescent="0.45">
      <c r="A6" s="9">
        <v>45307</v>
      </c>
      <c r="B6" s="9" t="s">
        <v>94</v>
      </c>
      <c r="C6" s="6">
        <v>204</v>
      </c>
      <c r="D6" s="6">
        <v>3978000</v>
      </c>
      <c r="E6" s="6">
        <f t="shared" si="0"/>
        <v>596700</v>
      </c>
    </row>
    <row r="7" spans="1:7" x14ac:dyDescent="0.45">
      <c r="A7" s="9">
        <v>45316</v>
      </c>
      <c r="B7" s="9" t="s">
        <v>95</v>
      </c>
      <c r="C7" s="6">
        <v>129</v>
      </c>
      <c r="D7" s="6">
        <v>2360700</v>
      </c>
      <c r="E7" s="6">
        <f t="shared" si="0"/>
        <v>354105</v>
      </c>
    </row>
    <row r="8" spans="1:7" x14ac:dyDescent="0.45">
      <c r="A8" s="26" t="s">
        <v>96</v>
      </c>
      <c r="B8" s="26"/>
      <c r="C8" s="12">
        <f>SUM(C4:C7)</f>
        <v>582</v>
      </c>
      <c r="D8" s="12">
        <f t="shared" ref="D8:E8" si="1">SUM(D4:D7)</f>
        <v>10814700</v>
      </c>
      <c r="E8" s="12">
        <f t="shared" si="1"/>
        <v>1622205</v>
      </c>
    </row>
    <row r="9" spans="1:7" x14ac:dyDescent="0.45">
      <c r="A9" s="9">
        <v>45327</v>
      </c>
      <c r="B9" s="9" t="s">
        <v>92</v>
      </c>
      <c r="C9" s="6">
        <v>153</v>
      </c>
      <c r="D9" s="6">
        <v>2417400</v>
      </c>
      <c r="E9" s="6">
        <f>D9*$G$4</f>
        <v>362610</v>
      </c>
    </row>
    <row r="10" spans="1:7" x14ac:dyDescent="0.45">
      <c r="A10" s="9">
        <v>45332</v>
      </c>
      <c r="B10" s="9" t="s">
        <v>93</v>
      </c>
      <c r="C10" s="6">
        <v>111</v>
      </c>
      <c r="D10" s="6">
        <v>2453100</v>
      </c>
      <c r="E10" s="6">
        <f t="shared" ref="E10:E12" si="2">D10*$G$4</f>
        <v>367965</v>
      </c>
    </row>
    <row r="11" spans="1:7" x14ac:dyDescent="0.45">
      <c r="A11" s="9">
        <v>45340</v>
      </c>
      <c r="B11" s="9" t="s">
        <v>94</v>
      </c>
      <c r="C11" s="6">
        <v>252</v>
      </c>
      <c r="D11" s="6">
        <v>4914000</v>
      </c>
      <c r="E11" s="6">
        <f t="shared" si="2"/>
        <v>737100</v>
      </c>
    </row>
    <row r="12" spans="1:7" x14ac:dyDescent="0.45">
      <c r="A12" s="9">
        <v>45348</v>
      </c>
      <c r="B12" s="9" t="s">
        <v>95</v>
      </c>
      <c r="C12" s="6">
        <v>164</v>
      </c>
      <c r="D12" s="6">
        <v>3001200</v>
      </c>
      <c r="E12" s="6">
        <f t="shared" si="2"/>
        <v>450180</v>
      </c>
    </row>
    <row r="13" spans="1:7" x14ac:dyDescent="0.45">
      <c r="A13" s="26" t="s">
        <v>97</v>
      </c>
      <c r="B13" s="26"/>
      <c r="C13" s="12">
        <f>SUM(C9:C12)</f>
        <v>680</v>
      </c>
      <c r="D13" s="12">
        <f t="shared" ref="D13:E13" si="3">SUM(D9:D12)</f>
        <v>12785700</v>
      </c>
      <c r="E13" s="12">
        <f t="shared" si="3"/>
        <v>1917855</v>
      </c>
    </row>
    <row r="14" spans="1:7" x14ac:dyDescent="0.45">
      <c r="A14" s="9">
        <v>45355</v>
      </c>
      <c r="B14" s="9" t="s">
        <v>92</v>
      </c>
      <c r="C14" s="6">
        <v>186</v>
      </c>
      <c r="D14" s="6">
        <v>2938800</v>
      </c>
      <c r="E14" s="6">
        <f>D14*$G$4</f>
        <v>440820</v>
      </c>
    </row>
    <row r="15" spans="1:7" x14ac:dyDescent="0.45">
      <c r="A15" s="9">
        <v>45363</v>
      </c>
      <c r="B15" s="9" t="s">
        <v>93</v>
      </c>
      <c r="C15" s="6">
        <v>132</v>
      </c>
      <c r="D15" s="6">
        <v>2917200</v>
      </c>
      <c r="E15" s="6">
        <f t="shared" ref="E15:E17" si="4">D15*$G$4</f>
        <v>437580</v>
      </c>
    </row>
    <row r="16" spans="1:7" x14ac:dyDescent="0.45">
      <c r="A16" s="9">
        <v>45371</v>
      </c>
      <c r="B16" s="9" t="s">
        <v>94</v>
      </c>
      <c r="C16" s="6">
        <v>227</v>
      </c>
      <c r="D16" s="6">
        <v>4426500</v>
      </c>
      <c r="E16" s="6">
        <f t="shared" si="4"/>
        <v>663975</v>
      </c>
    </row>
    <row r="17" spans="1:5" x14ac:dyDescent="0.45">
      <c r="A17" s="9">
        <v>45380</v>
      </c>
      <c r="B17" s="9" t="s">
        <v>95</v>
      </c>
      <c r="C17" s="6">
        <v>149</v>
      </c>
      <c r="D17" s="6">
        <v>2726700</v>
      </c>
      <c r="E17" s="6">
        <f t="shared" si="4"/>
        <v>409005</v>
      </c>
    </row>
    <row r="18" spans="1:5" x14ac:dyDescent="0.45">
      <c r="A18" s="26" t="s">
        <v>98</v>
      </c>
      <c r="B18" s="26"/>
      <c r="C18" s="12">
        <f>SUM(C14:C17)</f>
        <v>694</v>
      </c>
      <c r="D18" s="12">
        <f t="shared" ref="D18:E18" si="5">SUM(D14:D17)</f>
        <v>13009200</v>
      </c>
      <c r="E18" s="12">
        <f t="shared" si="5"/>
        <v>1951380</v>
      </c>
    </row>
  </sheetData>
  <mergeCells count="4">
    <mergeCell ref="A8:B8"/>
    <mergeCell ref="A13:B13"/>
    <mergeCell ref="A18:B18"/>
    <mergeCell ref="A1:E1"/>
  </mergeCells>
  <phoneticPr fontId="1" type="noConversion"/>
  <pageMargins left="0.7" right="0.7" top="0.75" bottom="0.75" header="0.3" footer="0.3"/>
  <ignoredErrors>
    <ignoredError sqref="E8 E1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08136-6A5C-400A-9BE2-774CC937EE50}">
  <dimension ref="A1:F11"/>
  <sheetViews>
    <sheetView workbookViewId="0">
      <selection sqref="A1:F1"/>
    </sheetView>
  </sheetViews>
  <sheetFormatPr defaultRowHeight="17" x14ac:dyDescent="0.45"/>
  <cols>
    <col min="2" max="2" width="10.58203125" bestFit="1" customWidth="1"/>
    <col min="3" max="3" width="12.33203125" bestFit="1" customWidth="1"/>
    <col min="4" max="5" width="9.08203125" bestFit="1" customWidth="1"/>
    <col min="6" max="6" width="10.58203125" bestFit="1" customWidth="1"/>
  </cols>
  <sheetData>
    <row r="1" spans="1:6" ht="21" x14ac:dyDescent="0.45">
      <c r="A1" s="22" t="s">
        <v>41</v>
      </c>
      <c r="B1" s="22"/>
      <c r="C1" s="22"/>
      <c r="D1" s="22"/>
      <c r="E1" s="22"/>
      <c r="F1" s="22"/>
    </row>
    <row r="3" spans="1:6" x14ac:dyDescent="0.45">
      <c r="A3" s="4" t="s">
        <v>42</v>
      </c>
      <c r="B3" s="4" t="s">
        <v>43</v>
      </c>
      <c r="C3" s="4" t="s">
        <v>45</v>
      </c>
      <c r="D3" s="4" t="s">
        <v>44</v>
      </c>
      <c r="E3" s="4" t="s">
        <v>46</v>
      </c>
      <c r="F3" s="4" t="s">
        <v>47</v>
      </c>
    </row>
    <row r="4" spans="1:6" x14ac:dyDescent="0.45">
      <c r="A4" s="4" t="s">
        <v>48</v>
      </c>
      <c r="B4" s="6">
        <v>2820000</v>
      </c>
      <c r="C4" s="6">
        <v>687000</v>
      </c>
      <c r="D4" s="6">
        <v>200000</v>
      </c>
      <c r="E4" s="6">
        <v>500400</v>
      </c>
      <c r="F4" s="7"/>
    </row>
    <row r="5" spans="1:6" x14ac:dyDescent="0.45">
      <c r="A5" s="4" t="s">
        <v>49</v>
      </c>
      <c r="B5" s="6">
        <v>3425000</v>
      </c>
      <c r="C5" s="6">
        <v>840000</v>
      </c>
      <c r="D5" s="6">
        <v>200000</v>
      </c>
      <c r="E5" s="6">
        <v>602800</v>
      </c>
      <c r="F5" s="7"/>
    </row>
    <row r="6" spans="1:6" x14ac:dyDescent="0.45">
      <c r="A6" s="4" t="s">
        <v>50</v>
      </c>
      <c r="B6" s="6">
        <v>3170000</v>
      </c>
      <c r="C6" s="6">
        <v>504000</v>
      </c>
      <c r="D6" s="6">
        <v>200000</v>
      </c>
      <c r="E6" s="6">
        <v>523000</v>
      </c>
      <c r="F6" s="7"/>
    </row>
    <row r="7" spans="1:6" x14ac:dyDescent="0.45">
      <c r="A7" s="4" t="s">
        <v>51</v>
      </c>
      <c r="B7" s="6">
        <v>3726000</v>
      </c>
      <c r="C7" s="6">
        <v>600000</v>
      </c>
      <c r="D7" s="6">
        <v>200000</v>
      </c>
      <c r="E7" s="6">
        <v>611000</v>
      </c>
      <c r="F7" s="7"/>
    </row>
    <row r="8" spans="1:6" x14ac:dyDescent="0.45">
      <c r="A8" s="4" t="s">
        <v>52</v>
      </c>
      <c r="B8" s="6">
        <v>2768000</v>
      </c>
      <c r="C8" s="6">
        <v>705000</v>
      </c>
      <c r="D8" s="6">
        <v>200000</v>
      </c>
      <c r="E8" s="6">
        <v>495900</v>
      </c>
      <c r="F8" s="7"/>
    </row>
    <row r="9" spans="1:6" x14ac:dyDescent="0.45">
      <c r="A9" s="4" t="s">
        <v>53</v>
      </c>
      <c r="B9" s="6">
        <v>3350000</v>
      </c>
      <c r="C9" s="6">
        <v>590000</v>
      </c>
      <c r="D9" s="6">
        <v>200000</v>
      </c>
      <c r="E9" s="6">
        <v>558900</v>
      </c>
      <c r="F9" s="7"/>
    </row>
    <row r="10" spans="1:6" x14ac:dyDescent="0.45">
      <c r="A10" s="4" t="s">
        <v>54</v>
      </c>
      <c r="B10" s="6">
        <v>2790000</v>
      </c>
      <c r="C10" s="6">
        <v>570000</v>
      </c>
      <c r="D10" s="6">
        <v>200000</v>
      </c>
      <c r="E10" s="6">
        <v>480600</v>
      </c>
      <c r="F10" s="7"/>
    </row>
    <row r="11" spans="1:6" x14ac:dyDescent="0.45">
      <c r="A11" s="4" t="s">
        <v>55</v>
      </c>
      <c r="B11" s="6">
        <v>3812000</v>
      </c>
      <c r="C11" s="6">
        <v>627000</v>
      </c>
      <c r="D11" s="6">
        <v>200000</v>
      </c>
      <c r="E11" s="6">
        <v>626300</v>
      </c>
      <c r="F11" s="7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4FE9-5FD0-4442-A210-3823CC9BDBCC}">
  <dimension ref="A1:D10"/>
  <sheetViews>
    <sheetView workbookViewId="0">
      <selection sqref="A1:D1"/>
    </sheetView>
  </sheetViews>
  <sheetFormatPr defaultRowHeight="17" x14ac:dyDescent="0.45"/>
  <cols>
    <col min="4" max="4" width="11.83203125" bestFit="1" customWidth="1"/>
  </cols>
  <sheetData>
    <row r="1" spans="1:4" ht="21" x14ac:dyDescent="0.45">
      <c r="A1" s="22" t="s">
        <v>57</v>
      </c>
      <c r="B1" s="22"/>
      <c r="C1" s="22"/>
      <c r="D1" s="22"/>
    </row>
    <row r="3" spans="1:4" x14ac:dyDescent="0.45">
      <c r="A3" s="4" t="s">
        <v>60</v>
      </c>
      <c r="B3" s="4" t="s">
        <v>58</v>
      </c>
      <c r="C3" s="4" t="s">
        <v>59</v>
      </c>
      <c r="D3" s="4" t="s">
        <v>28</v>
      </c>
    </row>
    <row r="4" spans="1:4" x14ac:dyDescent="0.45">
      <c r="A4" s="4" t="s">
        <v>61</v>
      </c>
      <c r="B4" s="8">
        <v>3957</v>
      </c>
      <c r="C4" s="8">
        <v>34</v>
      </c>
      <c r="D4" s="8">
        <f>B4*12500</f>
        <v>49462500</v>
      </c>
    </row>
    <row r="5" spans="1:4" x14ac:dyDescent="0.45">
      <c r="A5" s="4" t="s">
        <v>62</v>
      </c>
      <c r="B5" s="8">
        <v>5602</v>
      </c>
      <c r="C5" s="8">
        <v>51</v>
      </c>
      <c r="D5" s="8">
        <f t="shared" ref="D5:D9" si="0">B5*12500</f>
        <v>70025000</v>
      </c>
    </row>
    <row r="6" spans="1:4" x14ac:dyDescent="0.45">
      <c r="A6" s="4" t="s">
        <v>63</v>
      </c>
      <c r="B6" s="8">
        <v>5133</v>
      </c>
      <c r="C6" s="8">
        <v>22</v>
      </c>
      <c r="D6" s="8">
        <f t="shared" si="0"/>
        <v>64162500</v>
      </c>
    </row>
    <row r="7" spans="1:4" x14ac:dyDescent="0.45">
      <c r="A7" s="4" t="s">
        <v>64</v>
      </c>
      <c r="B7" s="8">
        <v>4320</v>
      </c>
      <c r="C7" s="8">
        <v>46</v>
      </c>
      <c r="D7" s="8">
        <f t="shared" si="0"/>
        <v>54000000</v>
      </c>
    </row>
    <row r="8" spans="1:4" x14ac:dyDescent="0.45">
      <c r="A8" s="4" t="s">
        <v>65</v>
      </c>
      <c r="B8" s="8">
        <v>6584</v>
      </c>
      <c r="C8" s="8">
        <v>63</v>
      </c>
      <c r="D8" s="8">
        <f t="shared" si="0"/>
        <v>82300000</v>
      </c>
    </row>
    <row r="9" spans="1:4" x14ac:dyDescent="0.45">
      <c r="A9" s="4" t="s">
        <v>66</v>
      </c>
      <c r="B9" s="8">
        <v>5869</v>
      </c>
      <c r="C9" s="8">
        <v>49</v>
      </c>
      <c r="D9" s="8">
        <f t="shared" si="0"/>
        <v>73362500</v>
      </c>
    </row>
    <row r="10" spans="1:4" x14ac:dyDescent="0.45">
      <c r="A10" s="4" t="s">
        <v>56</v>
      </c>
      <c r="B10" s="8">
        <f>SUM(B4:B9)</f>
        <v>31465</v>
      </c>
      <c r="C10" s="8">
        <f t="shared" ref="C10:D10" si="1">SUM(C4:C9)</f>
        <v>265</v>
      </c>
      <c r="D10" s="8">
        <f t="shared" si="1"/>
        <v>393312500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2024-04-04T05:45:49Z</dcterms:created>
  <dcterms:modified xsi:type="dcterms:W3CDTF">2024-06-03T01:20:46Z</dcterms:modified>
</cp:coreProperties>
</file>