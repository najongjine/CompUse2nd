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60ED0AEF-B72D-4962-86A8-8366FA0473D4}" xr6:coauthVersionLast="47" xr6:coauthVersionMax="47" xr10:uidLastSave="{00000000-0000-0000-0000-000000000000}"/>
  <bookViews>
    <workbookView xWindow="3240" yWindow="3750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D11" i="6"/>
  <c r="D3" i="5"/>
  <c r="D4" i="5"/>
  <c r="D5" i="5"/>
  <c r="D6" i="5"/>
  <c r="D7" i="5"/>
</calcChain>
</file>

<file path=xl/sharedStrings.xml><?xml version="1.0" encoding="utf-8"?>
<sst xmlns="http://schemas.openxmlformats.org/spreadsheetml/2006/main" count="44" uniqueCount="36">
  <si>
    <t>부장</t>
  </si>
  <si>
    <t>과장</t>
  </si>
  <si>
    <t>대리</t>
  </si>
  <si>
    <t>사원</t>
  </si>
  <si>
    <t>초과수당</t>
  </si>
  <si>
    <t>상여급</t>
    <phoneticPr fontId="1" type="noConversion"/>
  </si>
  <si>
    <t>직위</t>
  </si>
  <si>
    <t>&lt;직위별 지급 기준&gt;</t>
    <phoneticPr fontId="1" type="noConversion"/>
  </si>
  <si>
    <t>막막해</t>
  </si>
  <si>
    <t>신선해</t>
  </si>
  <si>
    <t>김천만</t>
  </si>
  <si>
    <t>홍길동</t>
  </si>
  <si>
    <t>김신락</t>
  </si>
  <si>
    <t>이름</t>
  </si>
  <si>
    <t>상여급 지급</t>
  </si>
  <si>
    <t>최원영</t>
  </si>
  <si>
    <t>마하</t>
  </si>
  <si>
    <t/>
  </si>
  <si>
    <t>불새</t>
  </si>
  <si>
    <t>장려상</t>
  </si>
  <si>
    <t>이상</t>
  </si>
  <si>
    <t>동상</t>
  </si>
  <si>
    <t>보라매</t>
  </si>
  <si>
    <t>은상</t>
  </si>
  <si>
    <t>송골매</t>
  </si>
  <si>
    <t>금상</t>
  </si>
  <si>
    <t>창공</t>
  </si>
  <si>
    <t>대상</t>
  </si>
  <si>
    <t>하늘</t>
  </si>
  <si>
    <t>수상명</t>
  </si>
  <si>
    <t>순위</t>
  </si>
  <si>
    <t>비상</t>
  </si>
  <si>
    <t>&lt;수상목록&gt;</t>
    <phoneticPr fontId="1" type="noConversion"/>
  </si>
  <si>
    <t>취득총점</t>
  </si>
  <si>
    <t>팀명</t>
  </si>
  <si>
    <t>모형 항공기 제작 경진 대회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</si>
</sst>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86A0-EB7D-4139-9619-15AA20D2FE04}">
  <dimension ref="B1:D14"/>
  <sheetViews>
    <sheetView tabSelected="1" workbookViewId="0"/>
  </sheetViews>
  <sheetFormatPr defaultRowHeight="16.5" x14ac:dyDescent="0.3"/>
  <cols>
    <col min="1" max="1" width="2" customWidth="1"/>
    <col min="2" max="2" width="9.375" customWidth="1"/>
    <col min="3" max="4" width="9.375" bestFit="1" customWidth="1"/>
  </cols>
  <sheetData>
    <row r="1" spans="2:4" ht="17.25" thickBot="1" x14ac:dyDescent="0.35">
      <c r="B1" s="14" t="s">
        <v>14</v>
      </c>
      <c r="C1" s="14"/>
      <c r="D1" s="14"/>
    </row>
    <row r="2" spans="2:4" x14ac:dyDescent="0.3">
      <c r="B2" s="9" t="s">
        <v>13</v>
      </c>
      <c r="C2" s="8" t="s">
        <v>6</v>
      </c>
      <c r="D2" s="13" t="s">
        <v>5</v>
      </c>
    </row>
    <row r="3" spans="2:4" x14ac:dyDescent="0.3">
      <c r="B3" s="6" t="s">
        <v>12</v>
      </c>
      <c r="C3" s="12" t="s">
        <v>1</v>
      </c>
      <c r="D3" s="4">
        <f>VLOOKUP(C3,$B$11:$D$14,2,FALSE)</f>
        <v>650000</v>
      </c>
    </row>
    <row r="4" spans="2:4" x14ac:dyDescent="0.3">
      <c r="B4" s="6" t="s">
        <v>11</v>
      </c>
      <c r="C4" s="12" t="s">
        <v>0</v>
      </c>
      <c r="D4" s="4">
        <f>VLOOKUP(C4,$B$11:$D$14,2,FALSE)</f>
        <v>700000</v>
      </c>
    </row>
    <row r="5" spans="2:4" x14ac:dyDescent="0.3">
      <c r="B5" s="6" t="s">
        <v>10</v>
      </c>
      <c r="C5" s="12" t="s">
        <v>1</v>
      </c>
      <c r="D5" s="4">
        <f>VLOOKUP(C5,$B$11:$D$14,2,FALSE)</f>
        <v>650000</v>
      </c>
    </row>
    <row r="6" spans="2:4" x14ac:dyDescent="0.3">
      <c r="B6" s="6" t="s">
        <v>9</v>
      </c>
      <c r="C6" s="12" t="s">
        <v>2</v>
      </c>
      <c r="D6" s="4">
        <f>VLOOKUP(C6,$B$11:$D$14,2,FALSE)</f>
        <v>600000</v>
      </c>
    </row>
    <row r="7" spans="2:4" ht="17.25" thickBot="1" x14ac:dyDescent="0.35">
      <c r="B7" s="3" t="s">
        <v>8</v>
      </c>
      <c r="C7" s="11" t="s">
        <v>3</v>
      </c>
      <c r="D7" s="1">
        <f>VLOOKUP(C7,$B$11:$D$14,2,FALSE)</f>
        <v>500000</v>
      </c>
    </row>
    <row r="9" spans="2:4" ht="17.25" thickBot="1" x14ac:dyDescent="0.35">
      <c r="B9" s="10" t="s">
        <v>7</v>
      </c>
      <c r="C9" s="10"/>
      <c r="D9" s="10"/>
    </row>
    <row r="10" spans="2:4" x14ac:dyDescent="0.3">
      <c r="B10" s="9" t="s">
        <v>6</v>
      </c>
      <c r="C10" s="8" t="s">
        <v>5</v>
      </c>
      <c r="D10" s="7" t="s">
        <v>4</v>
      </c>
    </row>
    <row r="11" spans="2:4" x14ac:dyDescent="0.3">
      <c r="B11" s="6" t="s">
        <v>3</v>
      </c>
      <c r="C11" s="5">
        <v>500000</v>
      </c>
      <c r="D11" s="4">
        <v>3500</v>
      </c>
    </row>
    <row r="12" spans="2:4" x14ac:dyDescent="0.3">
      <c r="B12" s="6" t="s">
        <v>2</v>
      </c>
      <c r="C12" s="5">
        <v>600000</v>
      </c>
      <c r="D12" s="4">
        <v>4500</v>
      </c>
    </row>
    <row r="13" spans="2:4" x14ac:dyDescent="0.3">
      <c r="B13" s="6" t="s">
        <v>1</v>
      </c>
      <c r="C13" s="5">
        <v>650000</v>
      </c>
      <c r="D13" s="4">
        <v>5500</v>
      </c>
    </row>
    <row r="14" spans="2:4" ht="17.25" thickBot="1" x14ac:dyDescent="0.35">
      <c r="B14" s="3" t="s">
        <v>0</v>
      </c>
      <c r="C14" s="2">
        <v>700000</v>
      </c>
      <c r="D14" s="1">
        <v>6000</v>
      </c>
    </row>
  </sheetData>
  <mergeCells count="2">
    <mergeCell ref="B1:D1"/>
    <mergeCell ref="B9:D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D0B60-8786-454B-A9AB-604570F880BD}">
  <dimension ref="B1:G11"/>
  <sheetViews>
    <sheetView workbookViewId="0"/>
  </sheetViews>
  <sheetFormatPr defaultRowHeight="16.5" x14ac:dyDescent="0.3"/>
  <cols>
    <col min="1" max="1" width="2" customWidth="1"/>
    <col min="2" max="2" width="8.375" customWidth="1"/>
    <col min="3" max="3" width="9" bestFit="1" customWidth="1"/>
    <col min="4" max="4" width="9" customWidth="1"/>
    <col min="5" max="5" width="2" customWidth="1"/>
    <col min="6" max="7" width="7.625" customWidth="1"/>
  </cols>
  <sheetData>
    <row r="1" spans="2:7" ht="17.25" thickBot="1" x14ac:dyDescent="0.35">
      <c r="B1" s="14" t="s">
        <v>35</v>
      </c>
      <c r="C1" s="14"/>
      <c r="D1" s="14"/>
    </row>
    <row r="2" spans="2:7" ht="17.25" thickBot="1" x14ac:dyDescent="0.35">
      <c r="B2" s="9" t="s">
        <v>34</v>
      </c>
      <c r="C2" s="8" t="s">
        <v>33</v>
      </c>
      <c r="D2" s="13" t="s">
        <v>29</v>
      </c>
      <c r="F2" s="10" t="s">
        <v>32</v>
      </c>
      <c r="G2" s="10"/>
    </row>
    <row r="3" spans="2:7" x14ac:dyDescent="0.3">
      <c r="B3" s="6" t="s">
        <v>31</v>
      </c>
      <c r="C3" s="12">
        <v>158</v>
      </c>
      <c r="D3" s="16" t="str">
        <f>VLOOKUP(_xlfn.RANK.EQ(C3,$C$3:$C$11),$F$4:$G$9,2)</f>
        <v>동상</v>
      </c>
      <c r="F3" s="9" t="s">
        <v>30</v>
      </c>
      <c r="G3" s="7" t="s">
        <v>29</v>
      </c>
    </row>
    <row r="4" spans="2:7" x14ac:dyDescent="0.3">
      <c r="B4" s="6" t="s">
        <v>28</v>
      </c>
      <c r="C4" s="12">
        <v>195</v>
      </c>
      <c r="D4" s="16" t="str">
        <f>VLOOKUP(_xlfn.RANK.EQ(C4,$C$3:$C$11),$F$4:$G$9,2)</f>
        <v>금상</v>
      </c>
      <c r="F4" s="6">
        <v>1</v>
      </c>
      <c r="G4" s="16" t="s">
        <v>27</v>
      </c>
    </row>
    <row r="5" spans="2:7" x14ac:dyDescent="0.3">
      <c r="B5" s="6" t="s">
        <v>26</v>
      </c>
      <c r="C5" s="12">
        <v>157</v>
      </c>
      <c r="D5" s="16" t="str">
        <f>VLOOKUP(_xlfn.RANK.EQ(C5,$C$3:$C$11),$F$4:$G$9,2)</f>
        <v>동상</v>
      </c>
      <c r="F5" s="6">
        <v>2</v>
      </c>
      <c r="G5" s="16" t="s">
        <v>25</v>
      </c>
    </row>
    <row r="6" spans="2:7" x14ac:dyDescent="0.3">
      <c r="B6" s="6" t="s">
        <v>24</v>
      </c>
      <c r="C6" s="12">
        <v>154</v>
      </c>
      <c r="D6" s="16" t="str">
        <f>VLOOKUP(_xlfn.RANK.EQ(C6,$C$3:$C$11),$F$4:$G$9,2)</f>
        <v>장려상</v>
      </c>
      <c r="F6" s="6">
        <v>3</v>
      </c>
      <c r="G6" s="16" t="s">
        <v>23</v>
      </c>
    </row>
    <row r="7" spans="2:7" x14ac:dyDescent="0.3">
      <c r="B7" s="6" t="s">
        <v>22</v>
      </c>
      <c r="C7" s="12">
        <v>120</v>
      </c>
      <c r="D7" s="16" t="str">
        <f>VLOOKUP(_xlfn.RANK.EQ(C7,$C$3:$C$11),$F$4:$G$9,2)</f>
        <v/>
      </c>
      <c r="F7" s="6">
        <v>4</v>
      </c>
      <c r="G7" s="16" t="s">
        <v>21</v>
      </c>
    </row>
    <row r="8" spans="2:7" x14ac:dyDescent="0.3">
      <c r="B8" s="6" t="s">
        <v>20</v>
      </c>
      <c r="C8" s="12">
        <v>198</v>
      </c>
      <c r="D8" s="16" t="str">
        <f>VLOOKUP(_xlfn.RANK.EQ(C8,$C$3:$C$11),$F$4:$G$9,2)</f>
        <v>대상</v>
      </c>
      <c r="F8" s="6">
        <v>6</v>
      </c>
      <c r="G8" s="16" t="s">
        <v>19</v>
      </c>
    </row>
    <row r="9" spans="2:7" ht="17.25" thickBot="1" x14ac:dyDescent="0.35">
      <c r="B9" s="6" t="s">
        <v>18</v>
      </c>
      <c r="C9" s="12">
        <v>145</v>
      </c>
      <c r="D9" s="16" t="str">
        <f>VLOOKUP(_xlfn.RANK.EQ(C9,$C$3:$C$11),$F$4:$G$9,2)</f>
        <v>장려상</v>
      </c>
      <c r="F9" s="3">
        <v>9</v>
      </c>
      <c r="G9" s="17" t="s">
        <v>17</v>
      </c>
    </row>
    <row r="10" spans="2:7" x14ac:dyDescent="0.3">
      <c r="B10" s="6" t="s">
        <v>16</v>
      </c>
      <c r="C10" s="12">
        <v>135</v>
      </c>
      <c r="D10" s="16" t="str">
        <f>VLOOKUP(_xlfn.RANK.EQ(C10,$C$3:$C$11),$F$4:$G$9,2)</f>
        <v>장려상</v>
      </c>
    </row>
    <row r="11" spans="2:7" ht="17.25" thickBot="1" x14ac:dyDescent="0.35">
      <c r="B11" s="3" t="s">
        <v>15</v>
      </c>
      <c r="C11" s="11">
        <v>160</v>
      </c>
      <c r="D11" s="15" t="str">
        <f>VLOOKUP(_xlfn.RANK.EQ(C11,$C$3:$C$11),$F$4:$G$9,2)</f>
        <v>은상</v>
      </c>
    </row>
  </sheetData>
  <mergeCells count="2">
    <mergeCell ref="B1:D1"/>
    <mergeCell ref="F2:G2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2023-04-27T05:25:18Z</dcterms:modified>
</cp:coreProperties>
</file>