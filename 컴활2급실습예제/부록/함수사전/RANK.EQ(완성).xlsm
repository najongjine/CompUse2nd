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0F12D7C2-23B6-46AC-9F7D-88099A13C0BF}" xr6:coauthVersionLast="47" xr6:coauthVersionMax="47" xr10:uidLastSave="{00000000-0000-0000-0000-000000000000}"/>
  <bookViews>
    <workbookView xWindow="3675" yWindow="322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E3" i="5"/>
  <c r="F3" i="5" s="1"/>
  <c r="E4" i="5"/>
  <c r="F4" i="5"/>
  <c r="E5" i="5"/>
  <c r="F5" i="5" s="1"/>
  <c r="E6" i="5"/>
  <c r="F7" i="5" s="1"/>
  <c r="F6" i="5"/>
  <c r="E7" i="5"/>
</calcChain>
</file>

<file path=xl/sharedStrings.xml><?xml version="1.0" encoding="utf-8"?>
<sst xmlns="http://schemas.openxmlformats.org/spreadsheetml/2006/main" count="34" uniqueCount="32">
  <si>
    <t>최순이</t>
  </si>
  <si>
    <t>안도해</t>
  </si>
  <si>
    <t>박철수</t>
  </si>
  <si>
    <t>나영희</t>
  </si>
  <si>
    <t>고아라</t>
  </si>
  <si>
    <t>순위</t>
  </si>
  <si>
    <t>총점</t>
  </si>
  <si>
    <t>수학</t>
  </si>
  <si>
    <t>영어</t>
  </si>
  <si>
    <t>국어</t>
  </si>
  <si>
    <t>성명</t>
  </si>
  <si>
    <t>성적표</t>
  </si>
  <si>
    <t>최원영</t>
  </si>
  <si>
    <t>마하</t>
  </si>
  <si>
    <t/>
  </si>
  <si>
    <t>불새</t>
  </si>
  <si>
    <t>장려상</t>
  </si>
  <si>
    <t>이상</t>
  </si>
  <si>
    <t>동상</t>
  </si>
  <si>
    <t>보라매</t>
  </si>
  <si>
    <t>은상</t>
  </si>
  <si>
    <t>송골매</t>
  </si>
  <si>
    <t>금상</t>
  </si>
  <si>
    <t>창공</t>
  </si>
  <si>
    <t>대상</t>
  </si>
  <si>
    <t>하늘</t>
  </si>
  <si>
    <t>수상명</t>
  </si>
  <si>
    <t>비상</t>
  </si>
  <si>
    <t>&lt;수상목록&gt;</t>
    <phoneticPr fontId="1" type="noConversion"/>
  </si>
  <si>
    <t>취득총점</t>
  </si>
  <si>
    <t>팀명</t>
  </si>
  <si>
    <t>모형 항공기 제작 경진 대회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</si>
</sst>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92482-E63E-48F6-BC75-E49FB5AD59E4}">
  <dimension ref="A1:F7"/>
  <sheetViews>
    <sheetView tabSelected="1" workbookViewId="0">
      <selection sqref="A1:F1"/>
    </sheetView>
  </sheetViews>
  <sheetFormatPr defaultRowHeight="16.5" x14ac:dyDescent="0.3"/>
  <cols>
    <col min="1" max="6" width="7.375" customWidth="1"/>
  </cols>
  <sheetData>
    <row r="1" spans="1:6" ht="17.25" thickBot="1" x14ac:dyDescent="0.35">
      <c r="A1" s="10" t="s">
        <v>11</v>
      </c>
      <c r="B1" s="10"/>
      <c r="C1" s="10"/>
      <c r="D1" s="10"/>
      <c r="E1" s="10"/>
      <c r="F1" s="10"/>
    </row>
    <row r="2" spans="1:6" x14ac:dyDescent="0.3">
      <c r="A2" s="9" t="s">
        <v>10</v>
      </c>
      <c r="B2" s="8" t="s">
        <v>9</v>
      </c>
      <c r="C2" s="8" t="s">
        <v>8</v>
      </c>
      <c r="D2" s="8" t="s">
        <v>7</v>
      </c>
      <c r="E2" s="8" t="s">
        <v>6</v>
      </c>
      <c r="F2" s="7" t="s">
        <v>5</v>
      </c>
    </row>
    <row r="3" spans="1:6" x14ac:dyDescent="0.3">
      <c r="A3" s="6" t="s">
        <v>4</v>
      </c>
      <c r="B3" s="5">
        <v>72</v>
      </c>
      <c r="C3" s="5">
        <v>90</v>
      </c>
      <c r="D3" s="5">
        <v>78</v>
      </c>
      <c r="E3" s="5">
        <f>SUM(B3:D3)</f>
        <v>240</v>
      </c>
      <c r="F3" s="4">
        <f>_xlfn.RANK.EQ(E3,$E$3:$E$7)</f>
        <v>2</v>
      </c>
    </row>
    <row r="4" spans="1:6" x14ac:dyDescent="0.3">
      <c r="A4" s="6" t="s">
        <v>3</v>
      </c>
      <c r="B4" s="5">
        <v>88</v>
      </c>
      <c r="C4" s="5">
        <v>80</v>
      </c>
      <c r="D4" s="5">
        <v>72</v>
      </c>
      <c r="E4" s="5">
        <f>SUM(B4:D4)</f>
        <v>240</v>
      </c>
      <c r="F4" s="4">
        <f>_xlfn.RANK.EQ(E4,$E$3:$E$7)</f>
        <v>2</v>
      </c>
    </row>
    <row r="5" spans="1:6" x14ac:dyDescent="0.3">
      <c r="A5" s="6" t="s">
        <v>2</v>
      </c>
      <c r="B5" s="5">
        <v>75</v>
      </c>
      <c r="C5" s="5">
        <v>98</v>
      </c>
      <c r="D5" s="5">
        <v>75</v>
      </c>
      <c r="E5" s="5">
        <f>SUM(B5:D5)</f>
        <v>248</v>
      </c>
      <c r="F5" s="4">
        <f>_xlfn.RANK.EQ(E5,$E$3:$E$7)</f>
        <v>1</v>
      </c>
    </row>
    <row r="6" spans="1:6" x14ac:dyDescent="0.3">
      <c r="A6" s="6" t="s">
        <v>1</v>
      </c>
      <c r="B6" s="5"/>
      <c r="C6" s="5">
        <v>100</v>
      </c>
      <c r="D6" s="5">
        <v>100</v>
      </c>
      <c r="E6" s="5">
        <f>SUM(B6:D6)</f>
        <v>200</v>
      </c>
      <c r="F6" s="4">
        <f>_xlfn.RANK.EQ(E6,$E$3:$E$7)</f>
        <v>4</v>
      </c>
    </row>
    <row r="7" spans="1:6" ht="17.25" thickBot="1" x14ac:dyDescent="0.35">
      <c r="A7" s="3" t="s">
        <v>0</v>
      </c>
      <c r="B7" s="2">
        <v>85</v>
      </c>
      <c r="C7" s="2"/>
      <c r="D7" s="2">
        <v>85</v>
      </c>
      <c r="E7" s="2">
        <f>SUM(B7:D7)</f>
        <v>170</v>
      </c>
      <c r="F7" s="1">
        <f>_xlfn.RANK.EQ(E7,$E$3:$E$7)</f>
        <v>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CC7E-8672-447C-ABC1-EE6C7C8AC383}">
  <dimension ref="B1:G11"/>
  <sheetViews>
    <sheetView workbookViewId="0"/>
  </sheetViews>
  <sheetFormatPr defaultRowHeight="16.5" x14ac:dyDescent="0.3"/>
  <cols>
    <col min="1" max="1" width="2" customWidth="1"/>
    <col min="2" max="2" width="8.375" customWidth="1"/>
    <col min="3" max="3" width="9" bestFit="1" customWidth="1"/>
    <col min="4" max="4" width="9" customWidth="1"/>
    <col min="5" max="5" width="2" customWidth="1"/>
    <col min="6" max="7" width="7.625" customWidth="1"/>
  </cols>
  <sheetData>
    <row r="1" spans="2:7" ht="17.25" thickBot="1" x14ac:dyDescent="0.35">
      <c r="B1" s="10" t="s">
        <v>31</v>
      </c>
      <c r="C1" s="10"/>
      <c r="D1" s="10"/>
    </row>
    <row r="2" spans="2:7" ht="17.25" thickBot="1" x14ac:dyDescent="0.35">
      <c r="B2" s="9" t="s">
        <v>30</v>
      </c>
      <c r="C2" s="8" t="s">
        <v>29</v>
      </c>
      <c r="D2" s="7" t="s">
        <v>26</v>
      </c>
      <c r="F2" s="13" t="s">
        <v>28</v>
      </c>
      <c r="G2" s="13"/>
    </row>
    <row r="3" spans="2:7" x14ac:dyDescent="0.3">
      <c r="B3" s="6" t="s">
        <v>27</v>
      </c>
      <c r="C3" s="5">
        <v>158</v>
      </c>
      <c r="D3" s="4" t="str">
        <f>VLOOKUP(_xlfn.RANK.EQ(C3,$C$3:$C$11),$F$4:$G$9,2)</f>
        <v>동상</v>
      </c>
      <c r="F3" s="9" t="s">
        <v>5</v>
      </c>
      <c r="G3" s="12" t="s">
        <v>26</v>
      </c>
    </row>
    <row r="4" spans="2:7" x14ac:dyDescent="0.3">
      <c r="B4" s="6" t="s">
        <v>25</v>
      </c>
      <c r="C4" s="5">
        <v>195</v>
      </c>
      <c r="D4" s="4" t="str">
        <f>VLOOKUP(_xlfn.RANK.EQ(C4,$C$3:$C$11),$F$4:$G$9,2)</f>
        <v>금상</v>
      </c>
      <c r="F4" s="6">
        <v>1</v>
      </c>
      <c r="G4" s="4" t="s">
        <v>24</v>
      </c>
    </row>
    <row r="5" spans="2:7" x14ac:dyDescent="0.3">
      <c r="B5" s="6" t="s">
        <v>23</v>
      </c>
      <c r="C5" s="5">
        <v>157</v>
      </c>
      <c r="D5" s="4" t="str">
        <f>VLOOKUP(_xlfn.RANK.EQ(C5,$C$3:$C$11),$F$4:$G$9,2)</f>
        <v>동상</v>
      </c>
      <c r="F5" s="6">
        <v>2</v>
      </c>
      <c r="G5" s="4" t="s">
        <v>22</v>
      </c>
    </row>
    <row r="6" spans="2:7" x14ac:dyDescent="0.3">
      <c r="B6" s="6" t="s">
        <v>21</v>
      </c>
      <c r="C6" s="5">
        <v>154</v>
      </c>
      <c r="D6" s="4" t="str">
        <f>VLOOKUP(_xlfn.RANK.EQ(C6,$C$3:$C$11),$F$4:$G$9,2)</f>
        <v>장려상</v>
      </c>
      <c r="F6" s="6">
        <v>3</v>
      </c>
      <c r="G6" s="4" t="s">
        <v>20</v>
      </c>
    </row>
    <row r="7" spans="2:7" x14ac:dyDescent="0.3">
      <c r="B7" s="6" t="s">
        <v>19</v>
      </c>
      <c r="C7" s="5">
        <v>120</v>
      </c>
      <c r="D7" s="4" t="str">
        <f>VLOOKUP(_xlfn.RANK.EQ(C7,$C$3:$C$11),$F$4:$G$9,2)</f>
        <v/>
      </c>
      <c r="F7" s="6">
        <v>4</v>
      </c>
      <c r="G7" s="4" t="s">
        <v>18</v>
      </c>
    </row>
    <row r="8" spans="2:7" x14ac:dyDescent="0.3">
      <c r="B8" s="6" t="s">
        <v>17</v>
      </c>
      <c r="C8" s="5">
        <v>198</v>
      </c>
      <c r="D8" s="4" t="str">
        <f>VLOOKUP(_xlfn.RANK.EQ(C8,$C$3:$C$11),$F$4:$G$9,2)</f>
        <v>대상</v>
      </c>
      <c r="F8" s="6">
        <v>6</v>
      </c>
      <c r="G8" s="4" t="s">
        <v>16</v>
      </c>
    </row>
    <row r="9" spans="2:7" ht="17.25" thickBot="1" x14ac:dyDescent="0.35">
      <c r="B9" s="6" t="s">
        <v>15</v>
      </c>
      <c r="C9" s="5">
        <v>145</v>
      </c>
      <c r="D9" s="4" t="str">
        <f>VLOOKUP(_xlfn.RANK.EQ(C9,$C$3:$C$11),$F$4:$G$9,2)</f>
        <v>장려상</v>
      </c>
      <c r="F9" s="3">
        <v>9</v>
      </c>
      <c r="G9" s="11" t="s">
        <v>14</v>
      </c>
    </row>
    <row r="10" spans="2:7" x14ac:dyDescent="0.3">
      <c r="B10" s="6" t="s">
        <v>13</v>
      </c>
      <c r="C10" s="5">
        <v>135</v>
      </c>
      <c r="D10" s="4" t="str">
        <f>VLOOKUP(_xlfn.RANK.EQ(C10,$C$3:$C$11),$F$4:$G$9,2)</f>
        <v>장려상</v>
      </c>
    </row>
    <row r="11" spans="2:7" ht="17.25" thickBot="1" x14ac:dyDescent="0.35">
      <c r="B11" s="3" t="s">
        <v>12</v>
      </c>
      <c r="C11" s="2">
        <v>160</v>
      </c>
      <c r="D11" s="1" t="str">
        <f>VLOOKUP(_xlfn.RANK.EQ(C11,$C$3:$C$11),$F$4:$G$9,2)</f>
        <v>은상</v>
      </c>
    </row>
  </sheetData>
  <mergeCells count="2">
    <mergeCell ref="B1:D1"/>
    <mergeCell ref="F2:G2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2023-04-27T05:10:10Z</dcterms:modified>
</cp:coreProperties>
</file>