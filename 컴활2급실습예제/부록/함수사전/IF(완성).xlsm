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\06 부록\"/>
    </mc:Choice>
  </mc:AlternateContent>
  <xr:revisionPtr revIDLastSave="0" documentId="13_ncr:1_{C5C2B23F-06D7-4678-AA0C-1C4DA569A997}" xr6:coauthVersionLast="47" xr6:coauthVersionMax="47" xr10:uidLastSave="{00000000-0000-0000-0000-000000000000}"/>
  <bookViews>
    <workbookView xWindow="7860" yWindow="4950" windowWidth="14775" windowHeight="954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E7" i="5"/>
  <c r="E9" i="5"/>
  <c r="D11" i="5"/>
  <c r="E8" i="5" s="1"/>
  <c r="E4" i="5" l="1"/>
  <c r="E6" i="5"/>
  <c r="E5" i="5"/>
  <c r="E10" i="5"/>
</calcChain>
</file>

<file path=xl/sharedStrings.xml><?xml version="1.0" encoding="utf-8"?>
<sst xmlns="http://schemas.openxmlformats.org/spreadsheetml/2006/main" count="31" uniqueCount="31">
  <si>
    <t>평균</t>
  </si>
  <si>
    <t>서용식</t>
  </si>
  <si>
    <t>부산</t>
  </si>
  <si>
    <t>최수정</t>
  </si>
  <si>
    <t>경북</t>
  </si>
  <si>
    <t>김만호</t>
  </si>
  <si>
    <t>대구</t>
  </si>
  <si>
    <t>장영철</t>
  </si>
  <si>
    <t>충북</t>
  </si>
  <si>
    <t>한송희</t>
  </si>
  <si>
    <t>강원</t>
  </si>
  <si>
    <t>박기수</t>
  </si>
  <si>
    <t>경기</t>
  </si>
  <si>
    <t>김정식</t>
  </si>
  <si>
    <t>서울</t>
  </si>
  <si>
    <t>평가</t>
  </si>
  <si>
    <t>1월 실적</t>
  </si>
  <si>
    <t>사원이름</t>
  </si>
  <si>
    <t>영업소</t>
  </si>
  <si>
    <t>개인별 영업 실적 현황</t>
  </si>
  <si>
    <t>박진수</t>
  </si>
  <si>
    <t>김승완</t>
  </si>
  <si>
    <t>손상훈</t>
  </si>
  <si>
    <t>유세준</t>
  </si>
  <si>
    <t>김선우</t>
  </si>
  <si>
    <t>승진여부</t>
  </si>
  <si>
    <t>연수점수</t>
  </si>
  <si>
    <t>실적점수</t>
  </si>
  <si>
    <t>근태점수</t>
  </si>
  <si>
    <t>성명</t>
  </si>
  <si>
    <t>사원 승진 심사표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</si>
</sst>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E11"/>
  <sheetViews>
    <sheetView tabSelected="1" workbookViewId="0"/>
  </sheetViews>
  <sheetFormatPr defaultRowHeight="16.5" x14ac:dyDescent="0.3"/>
  <cols>
    <col min="1" max="1" width="2.375" customWidth="1"/>
    <col min="2" max="3" width="9" customWidth="1"/>
    <col min="4" max="4" width="9.375" customWidth="1"/>
    <col min="5" max="5" width="9" customWidth="1"/>
  </cols>
  <sheetData>
    <row r="1" spans="2:5" x14ac:dyDescent="0.3">
      <c r="B1" s="14" t="s">
        <v>19</v>
      </c>
      <c r="C1" s="14"/>
      <c r="D1" s="14"/>
      <c r="E1" s="14"/>
    </row>
    <row r="2" spans="2:5" ht="17.25" thickBot="1" x14ac:dyDescent="0.35"/>
    <row r="3" spans="2:5" x14ac:dyDescent="0.3">
      <c r="B3" s="9" t="s">
        <v>18</v>
      </c>
      <c r="C3" s="8" t="s">
        <v>17</v>
      </c>
      <c r="D3" s="8" t="s">
        <v>16</v>
      </c>
      <c r="E3" s="7" t="s">
        <v>15</v>
      </c>
    </row>
    <row r="4" spans="2:5" x14ac:dyDescent="0.3">
      <c r="B4" s="6" t="s">
        <v>14</v>
      </c>
      <c r="C4" s="5" t="s">
        <v>13</v>
      </c>
      <c r="D4" s="4">
        <v>137000</v>
      </c>
      <c r="E4" s="3" t="str">
        <f t="shared" ref="E4:E10" si="0">IF(D4&gt;$D$11,"우수","")</f>
        <v>우수</v>
      </c>
    </row>
    <row r="5" spans="2:5" x14ac:dyDescent="0.3">
      <c r="B5" s="6" t="s">
        <v>12</v>
      </c>
      <c r="C5" s="5" t="s">
        <v>11</v>
      </c>
      <c r="D5" s="4">
        <v>78900</v>
      </c>
      <c r="E5" s="3" t="str">
        <f t="shared" si="0"/>
        <v/>
      </c>
    </row>
    <row r="6" spans="2:5" x14ac:dyDescent="0.3">
      <c r="B6" s="6" t="s">
        <v>10</v>
      </c>
      <c r="C6" s="5" t="s">
        <v>9</v>
      </c>
      <c r="D6" s="4">
        <v>57900</v>
      </c>
      <c r="E6" s="3" t="str">
        <f t="shared" si="0"/>
        <v/>
      </c>
    </row>
    <row r="7" spans="2:5" x14ac:dyDescent="0.3">
      <c r="B7" s="6" t="s">
        <v>8</v>
      </c>
      <c r="C7" s="5" t="s">
        <v>7</v>
      </c>
      <c r="D7" s="4">
        <v>103400</v>
      </c>
      <c r="E7" s="3" t="str">
        <f t="shared" si="0"/>
        <v>우수</v>
      </c>
    </row>
    <row r="8" spans="2:5" x14ac:dyDescent="0.3">
      <c r="B8" s="6" t="s">
        <v>6</v>
      </c>
      <c r="C8" s="5" t="s">
        <v>5</v>
      </c>
      <c r="D8" s="4">
        <v>117800</v>
      </c>
      <c r="E8" s="3" t="str">
        <f t="shared" si="0"/>
        <v>우수</v>
      </c>
    </row>
    <row r="9" spans="2:5" x14ac:dyDescent="0.3">
      <c r="B9" s="6" t="s">
        <v>4</v>
      </c>
      <c r="C9" s="5" t="s">
        <v>3</v>
      </c>
      <c r="D9" s="4">
        <v>78900</v>
      </c>
      <c r="E9" s="3" t="str">
        <f t="shared" si="0"/>
        <v/>
      </c>
    </row>
    <row r="10" spans="2:5" x14ac:dyDescent="0.3">
      <c r="B10" s="6" t="s">
        <v>2</v>
      </c>
      <c r="C10" s="5" t="s">
        <v>1</v>
      </c>
      <c r="D10" s="4">
        <v>114000</v>
      </c>
      <c r="E10" s="3" t="str">
        <f t="shared" si="0"/>
        <v>우수</v>
      </c>
    </row>
    <row r="11" spans="2:5" ht="17.25" thickBot="1" x14ac:dyDescent="0.35">
      <c r="B11" s="15" t="s">
        <v>0</v>
      </c>
      <c r="C11" s="16"/>
      <c r="D11" s="2">
        <f>AVERAGE(D4:D10)</f>
        <v>98271.428571428565</v>
      </c>
      <c r="E11" s="1"/>
    </row>
  </sheetData>
  <mergeCells count="2">
    <mergeCell ref="B1:E1"/>
    <mergeCell ref="B11:C1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D570B-31AA-4ABF-A80B-4188037A60A2}">
  <dimension ref="B1:F7"/>
  <sheetViews>
    <sheetView workbookViewId="0"/>
  </sheetViews>
  <sheetFormatPr defaultRowHeight="16.5" x14ac:dyDescent="0.3"/>
  <cols>
    <col min="1" max="1" width="2" customWidth="1"/>
    <col min="2" max="2" width="9" customWidth="1"/>
    <col min="3" max="6" width="9.25" customWidth="1"/>
  </cols>
  <sheetData>
    <row r="1" spans="2:6" ht="17.25" thickBot="1" x14ac:dyDescent="0.35">
      <c r="B1" s="14" t="s">
        <v>30</v>
      </c>
      <c r="C1" s="14"/>
      <c r="D1" s="14"/>
      <c r="E1" s="14"/>
      <c r="F1" s="14"/>
    </row>
    <row r="2" spans="2:6" x14ac:dyDescent="0.3">
      <c r="B2" s="9" t="s">
        <v>29</v>
      </c>
      <c r="C2" s="8" t="s">
        <v>28</v>
      </c>
      <c r="D2" s="8" t="s">
        <v>27</v>
      </c>
      <c r="E2" s="8" t="s">
        <v>26</v>
      </c>
      <c r="F2" s="13" t="s">
        <v>25</v>
      </c>
    </row>
    <row r="3" spans="2:6" x14ac:dyDescent="0.3">
      <c r="B3" s="6" t="s">
        <v>24</v>
      </c>
      <c r="C3" s="5">
        <v>78</v>
      </c>
      <c r="D3" s="5">
        <v>86</v>
      </c>
      <c r="E3" s="5">
        <v>67</v>
      </c>
      <c r="F3" s="3" t="str">
        <f>IF(AND(C3&gt;=70, D3&gt;=70, E3&gt;=70),"승진","")</f>
        <v/>
      </c>
    </row>
    <row r="4" spans="2:6" x14ac:dyDescent="0.3">
      <c r="B4" s="6" t="s">
        <v>23</v>
      </c>
      <c r="C4" s="5">
        <v>90</v>
      </c>
      <c r="D4" s="5">
        <v>88</v>
      </c>
      <c r="E4" s="5">
        <v>70</v>
      </c>
      <c r="F4" s="3" t="str">
        <f>IF(AND(C4&gt;=70, D4&gt;=70, E4&gt;=70),"승진","")</f>
        <v>승진</v>
      </c>
    </row>
    <row r="5" spans="2:6" x14ac:dyDescent="0.3">
      <c r="B5" s="6" t="s">
        <v>22</v>
      </c>
      <c r="C5" s="5">
        <v>62</v>
      </c>
      <c r="D5" s="5">
        <v>76</v>
      </c>
      <c r="E5" s="5">
        <v>84</v>
      </c>
      <c r="F5" s="3" t="str">
        <f>IF(AND(C5&gt;=70, D5&gt;=70, E5&gt;=70),"승진","")</f>
        <v/>
      </c>
    </row>
    <row r="6" spans="2:6" x14ac:dyDescent="0.3">
      <c r="B6" s="6" t="s">
        <v>21</v>
      </c>
      <c r="C6" s="5">
        <v>83</v>
      </c>
      <c r="D6" s="5">
        <v>56</v>
      </c>
      <c r="E6" s="5">
        <v>78</v>
      </c>
      <c r="F6" s="3" t="str">
        <f>IF(AND(C6&gt;=70, D6&gt;=70, E6&gt;=70),"승진","")</f>
        <v/>
      </c>
    </row>
    <row r="7" spans="2:6" ht="17.25" thickBot="1" x14ac:dyDescent="0.35">
      <c r="B7" s="12" t="s">
        <v>20</v>
      </c>
      <c r="C7" s="11">
        <v>89</v>
      </c>
      <c r="D7" s="11">
        <v>74</v>
      </c>
      <c r="E7" s="11">
        <v>96</v>
      </c>
      <c r="F7" s="10" t="str">
        <f>IF(AND(C7&gt;=70, D7&gt;=70, E7&gt;=70),"승진","")</f>
        <v>승진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2023-05-10T11:09:56Z</dcterms:modified>
</cp:coreProperties>
</file>