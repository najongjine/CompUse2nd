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ynop\Desktop\컴활2급실기_2021\06 부록\"/>
    </mc:Choice>
  </mc:AlternateContent>
  <xr:revisionPtr revIDLastSave="0" documentId="13_ncr:1_{25AD26CD-E636-4BAD-B4F7-6BB32D12AB6D}" xr6:coauthVersionLast="47" xr6:coauthVersionMax="47" xr10:uidLastSave="{00000000-0000-0000-0000-000000000000}"/>
  <bookViews>
    <workbookView xWindow="4230" yWindow="3135" windowWidth="12510" windowHeight="11505" xr2:uid="{EE757160-5024-4120-A609-A74D9106D7A4}"/>
  </bookViews>
  <sheets>
    <sheet name="기본" sheetId="5" r:id="rId1"/>
    <sheet name="기출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0" i="6" l="1"/>
  <c r="G4" i="5"/>
  <c r="H4" i="5"/>
  <c r="G5" i="5"/>
  <c r="H5" i="5"/>
</calcChain>
</file>

<file path=xl/sharedStrings.xml><?xml version="1.0" encoding="utf-8"?>
<sst xmlns="http://schemas.openxmlformats.org/spreadsheetml/2006/main" count="63" uniqueCount="39">
  <si>
    <t>2급</t>
  </si>
  <si>
    <t>판매부</t>
  </si>
  <si>
    <t>강유라</t>
  </si>
  <si>
    <t>1급</t>
  </si>
  <si>
    <t>기획부</t>
  </si>
  <si>
    <t>최지은</t>
  </si>
  <si>
    <t>박원래</t>
  </si>
  <si>
    <t>김지연</t>
  </si>
  <si>
    <t>지순녀</t>
  </si>
  <si>
    <t>이학봉</t>
  </si>
  <si>
    <t>김경수</t>
  </si>
  <si>
    <t>이승연</t>
  </si>
  <si>
    <t xml:space="preserve">       직급_x000D_
부서</t>
    <phoneticPr fontId="1" type="noConversion"/>
  </si>
  <si>
    <t>기본급</t>
  </si>
  <si>
    <t>직급</t>
  </si>
  <si>
    <t>부서</t>
  </si>
  <si>
    <t>성명</t>
  </si>
  <si>
    <t>부서별 직급별 기본급의 합계</t>
  </si>
  <si>
    <t>기본급 지급 현황</t>
  </si>
  <si>
    <t>코미디-전체 예매총액 합계</t>
  </si>
  <si>
    <t>12세이상</t>
  </si>
  <si>
    <t>코미디</t>
  </si>
  <si>
    <t>수상한아이</t>
  </si>
  <si>
    <t>15세이상</t>
  </si>
  <si>
    <t>액션</t>
  </si>
  <si>
    <t>해적</t>
  </si>
  <si>
    <t>전체</t>
  </si>
  <si>
    <t>범죄의마왕</t>
  </si>
  <si>
    <t>드라마</t>
  </si>
  <si>
    <t>변호사</t>
  </si>
  <si>
    <t>꿈의선물</t>
  </si>
  <si>
    <t>구름넘어서</t>
  </si>
  <si>
    <t>대구행</t>
  </si>
  <si>
    <t>예매총액</t>
  </si>
  <si>
    <t>예매량</t>
  </si>
  <si>
    <t>관람등급</t>
  </si>
  <si>
    <t>장르</t>
  </si>
  <si>
    <t>영화명</t>
  </si>
  <si>
    <t>영화예매 현황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</si>
</sst>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 diagonalDown="1"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24">
    <xf numFmtId="0" fontId="0" fillId="0" borderId="0" xfId="0">
      <alignment vertical="center"/>
    </xf>
    <xf numFmtId="3" fontId="0" fillId="0" borderId="0" xfId="0" applyNumberFormat="1">
      <alignment vertical="center"/>
    </xf>
    <xf numFmtId="41" fontId="0" fillId="0" borderId="1" xfId="1" applyFont="1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41" fontId="0" fillId="0" borderId="4" xfId="1" applyFont="1" applyBorder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41" fontId="0" fillId="0" borderId="2" xfId="1" applyFont="1" applyBorder="1">
      <alignment vertical="center"/>
    </xf>
    <xf numFmtId="41" fontId="0" fillId="0" borderId="5" xfId="1" applyFont="1" applyBorder="1">
      <alignment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0" borderId="9" xfId="0" applyBorder="1" applyAlignment="1">
      <alignment horizontal="left" vertical="center" wrapText="1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/>
    </xf>
    <xf numFmtId="41" fontId="0" fillId="0" borderId="4" xfId="1" applyFont="1" applyBorder="1" applyAlignment="1">
      <alignment horizontal="center" vertical="center"/>
    </xf>
    <xf numFmtId="41" fontId="0" fillId="0" borderId="5" xfId="1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2B7FCF-1B40-4090-8440-C4F3C1EBDEBA}">
  <dimension ref="A1:H11"/>
  <sheetViews>
    <sheetView tabSelected="1" workbookViewId="0">
      <selection sqref="A1:D1"/>
    </sheetView>
  </sheetViews>
  <sheetFormatPr defaultRowHeight="16.5" x14ac:dyDescent="0.3"/>
  <cols>
    <col min="1" max="3" width="7.375" customWidth="1"/>
    <col min="4" max="4" width="10.875" bestFit="1" customWidth="1"/>
    <col min="5" max="5" width="1.375" customWidth="1"/>
    <col min="6" max="6" width="9.125" bestFit="1" customWidth="1"/>
    <col min="7" max="8" width="10.875" customWidth="1"/>
  </cols>
  <sheetData>
    <row r="1" spans="1:8" x14ac:dyDescent="0.3">
      <c r="A1" s="16" t="s">
        <v>18</v>
      </c>
      <c r="B1" s="16"/>
      <c r="C1" s="16"/>
      <c r="D1" s="16"/>
      <c r="F1" s="16" t="s">
        <v>17</v>
      </c>
      <c r="G1" s="16"/>
      <c r="H1" s="16"/>
    </row>
    <row r="2" spans="1:8" ht="17.25" thickBot="1" x14ac:dyDescent="0.35"/>
    <row r="3" spans="1:8" ht="33" x14ac:dyDescent="0.3">
      <c r="A3" s="15" t="s">
        <v>16</v>
      </c>
      <c r="B3" s="14" t="s">
        <v>15</v>
      </c>
      <c r="C3" s="14" t="s">
        <v>14</v>
      </c>
      <c r="D3" s="13" t="s">
        <v>13</v>
      </c>
      <c r="F3" s="12" t="s">
        <v>12</v>
      </c>
      <c r="G3" s="11" t="s">
        <v>3</v>
      </c>
      <c r="H3" s="10" t="s">
        <v>0</v>
      </c>
    </row>
    <row r="4" spans="1:8" x14ac:dyDescent="0.3">
      <c r="A4" s="7" t="s">
        <v>11</v>
      </c>
      <c r="B4" s="6" t="s">
        <v>1</v>
      </c>
      <c r="C4" s="6" t="s">
        <v>3</v>
      </c>
      <c r="D4" s="5">
        <v>1450000</v>
      </c>
      <c r="F4" s="7" t="s">
        <v>1</v>
      </c>
      <c r="G4" s="9">
        <f>SUMIFS(D4:D11,B4:B11,"판매부",C4:C11,"1급")</f>
        <v>2900000</v>
      </c>
      <c r="H4" s="5">
        <f>SUMIFS(D4:D11,B4:B11,"판매부",C4:C11,"2급")</f>
        <v>2650000</v>
      </c>
    </row>
    <row r="5" spans="1:8" ht="17.25" thickBot="1" x14ac:dyDescent="0.35">
      <c r="A5" s="7" t="s">
        <v>10</v>
      </c>
      <c r="B5" s="6" t="s">
        <v>4</v>
      </c>
      <c r="C5" s="6" t="s">
        <v>0</v>
      </c>
      <c r="D5" s="5">
        <v>1350000</v>
      </c>
      <c r="F5" s="4" t="s">
        <v>4</v>
      </c>
      <c r="G5" s="8">
        <f>SUMIFS(D4:D11,B4:B11,"기획부",C4:C11,"1급")</f>
        <v>2650000</v>
      </c>
      <c r="H5" s="2">
        <f>SUMIFS(D4:D11,B4:B11,"기획부",C4:C11,"2급")</f>
        <v>2550000</v>
      </c>
    </row>
    <row r="6" spans="1:8" x14ac:dyDescent="0.3">
      <c r="A6" s="7" t="s">
        <v>9</v>
      </c>
      <c r="B6" s="6" t="s">
        <v>1</v>
      </c>
      <c r="C6" s="6" t="s">
        <v>0</v>
      </c>
      <c r="D6" s="5">
        <v>1350000</v>
      </c>
    </row>
    <row r="7" spans="1:8" x14ac:dyDescent="0.3">
      <c r="A7" s="7" t="s">
        <v>8</v>
      </c>
      <c r="B7" s="6" t="s">
        <v>4</v>
      </c>
      <c r="C7" s="6" t="s">
        <v>0</v>
      </c>
      <c r="D7" s="5">
        <v>1200000</v>
      </c>
    </row>
    <row r="8" spans="1:8" x14ac:dyDescent="0.3">
      <c r="A8" s="7" t="s">
        <v>7</v>
      </c>
      <c r="B8" s="6" t="s">
        <v>1</v>
      </c>
      <c r="C8" s="6" t="s">
        <v>3</v>
      </c>
      <c r="D8" s="5">
        <v>1450000</v>
      </c>
    </row>
    <row r="9" spans="1:8" x14ac:dyDescent="0.3">
      <c r="A9" s="7" t="s">
        <v>6</v>
      </c>
      <c r="B9" s="6" t="s">
        <v>4</v>
      </c>
      <c r="C9" s="6" t="s">
        <v>3</v>
      </c>
      <c r="D9" s="5">
        <v>1450000</v>
      </c>
    </row>
    <row r="10" spans="1:8" x14ac:dyDescent="0.3">
      <c r="A10" s="7" t="s">
        <v>5</v>
      </c>
      <c r="B10" s="6" t="s">
        <v>4</v>
      </c>
      <c r="C10" s="6" t="s">
        <v>3</v>
      </c>
      <c r="D10" s="5">
        <v>1200000</v>
      </c>
      <c r="E10" s="1"/>
    </row>
    <row r="11" spans="1:8" ht="17.25" thickBot="1" x14ac:dyDescent="0.35">
      <c r="A11" s="4" t="s">
        <v>2</v>
      </c>
      <c r="B11" s="3" t="s">
        <v>1</v>
      </c>
      <c r="C11" s="3" t="s">
        <v>0</v>
      </c>
      <c r="D11" s="2">
        <v>1300000</v>
      </c>
      <c r="E11" s="1"/>
    </row>
  </sheetData>
  <mergeCells count="2">
    <mergeCell ref="A1:D1"/>
    <mergeCell ref="F1:H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BF8F2-D002-4F9C-975A-EE8B3DB8823E}">
  <dimension ref="A1:E10"/>
  <sheetViews>
    <sheetView workbookViewId="0">
      <selection sqref="A1:E1"/>
    </sheetView>
  </sheetViews>
  <sheetFormatPr defaultRowHeight="16.5" x14ac:dyDescent="0.3"/>
  <cols>
    <col min="1" max="1" width="11" customWidth="1"/>
    <col min="3" max="3" width="9" customWidth="1"/>
    <col min="5" max="5" width="10.875" bestFit="1" customWidth="1"/>
  </cols>
  <sheetData>
    <row r="1" spans="1:5" ht="17.25" thickBot="1" x14ac:dyDescent="0.35">
      <c r="A1" s="23" t="s">
        <v>38</v>
      </c>
      <c r="B1" s="23"/>
      <c r="C1" s="23"/>
      <c r="D1" s="23"/>
      <c r="E1" s="23"/>
    </row>
    <row r="2" spans="1:5" x14ac:dyDescent="0.3">
      <c r="A2" s="15" t="s">
        <v>37</v>
      </c>
      <c r="B2" s="14" t="s">
        <v>36</v>
      </c>
      <c r="C2" s="14" t="s">
        <v>35</v>
      </c>
      <c r="D2" s="14" t="s">
        <v>34</v>
      </c>
      <c r="E2" s="13" t="s">
        <v>33</v>
      </c>
    </row>
    <row r="3" spans="1:5" x14ac:dyDescent="0.3">
      <c r="A3" s="7" t="s">
        <v>32</v>
      </c>
      <c r="B3" s="6" t="s">
        <v>24</v>
      </c>
      <c r="C3" s="6" t="s">
        <v>20</v>
      </c>
      <c r="D3" s="22">
        <v>5336</v>
      </c>
      <c r="E3" s="21">
        <v>4802</v>
      </c>
    </row>
    <row r="4" spans="1:5" x14ac:dyDescent="0.3">
      <c r="A4" s="7" t="s">
        <v>31</v>
      </c>
      <c r="B4" s="6" t="s">
        <v>28</v>
      </c>
      <c r="C4" s="6" t="s">
        <v>23</v>
      </c>
      <c r="D4" s="22">
        <v>4423</v>
      </c>
      <c r="E4" s="21">
        <v>3981</v>
      </c>
    </row>
    <row r="5" spans="1:5" x14ac:dyDescent="0.3">
      <c r="A5" s="7" t="s">
        <v>30</v>
      </c>
      <c r="B5" s="6" t="s">
        <v>21</v>
      </c>
      <c r="C5" s="6" t="s">
        <v>26</v>
      </c>
      <c r="D5" s="22">
        <v>3686</v>
      </c>
      <c r="E5" s="21">
        <v>3317</v>
      </c>
    </row>
    <row r="6" spans="1:5" x14ac:dyDescent="0.3">
      <c r="A6" s="7" t="s">
        <v>29</v>
      </c>
      <c r="B6" s="6" t="s">
        <v>28</v>
      </c>
      <c r="C6" s="6" t="s">
        <v>23</v>
      </c>
      <c r="D6" s="22">
        <v>6987</v>
      </c>
      <c r="E6" s="21">
        <v>6288</v>
      </c>
    </row>
    <row r="7" spans="1:5" x14ac:dyDescent="0.3">
      <c r="A7" s="7" t="s">
        <v>27</v>
      </c>
      <c r="B7" s="6" t="s">
        <v>21</v>
      </c>
      <c r="C7" s="6" t="s">
        <v>26</v>
      </c>
      <c r="D7" s="22">
        <v>5454</v>
      </c>
      <c r="E7" s="21">
        <v>4909</v>
      </c>
    </row>
    <row r="8" spans="1:5" x14ac:dyDescent="0.3">
      <c r="A8" s="7" t="s">
        <v>25</v>
      </c>
      <c r="B8" s="6" t="s">
        <v>24</v>
      </c>
      <c r="C8" s="6" t="s">
        <v>23</v>
      </c>
      <c r="D8" s="22">
        <v>6589</v>
      </c>
      <c r="E8" s="21">
        <v>5930</v>
      </c>
    </row>
    <row r="9" spans="1:5" x14ac:dyDescent="0.3">
      <c r="A9" s="7" t="s">
        <v>22</v>
      </c>
      <c r="B9" s="6" t="s">
        <v>21</v>
      </c>
      <c r="C9" s="6" t="s">
        <v>20</v>
      </c>
      <c r="D9" s="22">
        <v>4359</v>
      </c>
      <c r="E9" s="21">
        <v>3923</v>
      </c>
    </row>
    <row r="10" spans="1:5" ht="17.25" thickBot="1" x14ac:dyDescent="0.35">
      <c r="A10" s="20" t="s">
        <v>19</v>
      </c>
      <c r="B10" s="19"/>
      <c r="C10" s="19"/>
      <c r="D10" s="18"/>
      <c r="E10" s="17" t="str">
        <f>SUMIFS(E3:E9,B3:B9,"코미디",C3:C9,"전체")&amp;"만원"</f>
        <v>8226만원</v>
      </c>
    </row>
  </sheetData>
  <mergeCells count="2">
    <mergeCell ref="A1:E1"/>
    <mergeCell ref="A10:D10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시나공</cp:lastModifiedBy>
  <dcterms:created xsi:type="dcterms:W3CDTF">2023-04-27T02:31:42Z</dcterms:created>
  <dcterms:modified xsi:type="dcterms:W3CDTF">2023-04-27T05:20:56Z</dcterms:modified>
</cp:coreProperties>
</file>