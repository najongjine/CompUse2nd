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D151488-EA75-4656-8C60-FE5D2A70F521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F3" i="6"/>
  <c r="E4" i="6"/>
  <c r="F4" i="6" s="1"/>
  <c r="E5" i="6"/>
  <c r="F5" i="6" s="1"/>
  <c r="E6" i="6"/>
  <c r="F6" i="6" s="1"/>
  <c r="E7" i="6"/>
  <c r="F7" i="6"/>
  <c r="D3" i="5"/>
  <c r="D4" i="5"/>
  <c r="D5" i="5"/>
  <c r="D6" i="5"/>
  <c r="D7" i="5"/>
</calcChain>
</file>

<file path=xl/sharedStrings.xml><?xml version="1.0" encoding="utf-8"?>
<sst xmlns="http://schemas.openxmlformats.org/spreadsheetml/2006/main" count="36" uniqueCount="29">
  <si>
    <t>초과수당</t>
  </si>
  <si>
    <t>상여급</t>
  </si>
  <si>
    <t>부장</t>
  </si>
  <si>
    <t>과장</t>
  </si>
  <si>
    <t>대리</t>
  </si>
  <si>
    <t>사원</t>
  </si>
  <si>
    <t>직위</t>
  </si>
  <si>
    <t>&lt;직위별 지급 기준&gt;</t>
    <phoneticPr fontId="1" type="noConversion"/>
  </si>
  <si>
    <t>막막해</t>
  </si>
  <si>
    <t>신선해</t>
  </si>
  <si>
    <t>김천만</t>
  </si>
  <si>
    <t>홍길동</t>
  </si>
  <si>
    <t>김신락</t>
  </si>
  <si>
    <t>상여급</t>
    <phoneticPr fontId="1" type="noConversion"/>
  </si>
  <si>
    <t>이름</t>
  </si>
  <si>
    <t>상여급 지급</t>
  </si>
  <si>
    <t>할인율</t>
  </si>
  <si>
    <t>판매수량</t>
  </si>
  <si>
    <t>&lt;할인율표&gt;</t>
    <phoneticPr fontId="1" type="noConversion"/>
  </si>
  <si>
    <t>붓</t>
  </si>
  <si>
    <t>딱풀</t>
  </si>
  <si>
    <t>명함꽂이</t>
  </si>
  <si>
    <t>수첩</t>
  </si>
  <si>
    <t>다이어리</t>
  </si>
  <si>
    <t>할인액</t>
  </si>
  <si>
    <t>판매금액</t>
  </si>
  <si>
    <t xml:space="preserve">판매가격 </t>
  </si>
  <si>
    <t>제품명</t>
  </si>
  <si>
    <t>상공 문구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</si>
</sst>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CD27C-CA2A-4884-BB65-47C62369F74D}">
  <dimension ref="A1:E12"/>
  <sheetViews>
    <sheetView tabSelected="1" workbookViewId="0"/>
  </sheetViews>
  <sheetFormatPr defaultRowHeight="16.5" x14ac:dyDescent="0.3"/>
  <cols>
    <col min="1" max="1" width="8.625" customWidth="1"/>
    <col min="2" max="3" width="9.375" customWidth="1"/>
    <col min="4" max="4" width="9.375" bestFit="1" customWidth="1"/>
    <col min="5" max="5" width="9.375" customWidth="1"/>
  </cols>
  <sheetData>
    <row r="1" spans="1:5" ht="17.25" thickBot="1" x14ac:dyDescent="0.35">
      <c r="B1" s="14" t="s">
        <v>15</v>
      </c>
      <c r="C1" s="14"/>
      <c r="D1" s="14"/>
    </row>
    <row r="2" spans="1:5" x14ac:dyDescent="0.3">
      <c r="B2" s="9" t="s">
        <v>14</v>
      </c>
      <c r="C2" s="8" t="s">
        <v>6</v>
      </c>
      <c r="D2" s="13" t="s">
        <v>13</v>
      </c>
    </row>
    <row r="3" spans="1:5" x14ac:dyDescent="0.3">
      <c r="B3" s="6" t="s">
        <v>12</v>
      </c>
      <c r="C3" s="12" t="s">
        <v>5</v>
      </c>
      <c r="D3" s="4">
        <f>HLOOKUP(C3,$B$10:$E$12,2,FALSE)</f>
        <v>500000</v>
      </c>
    </row>
    <row r="4" spans="1:5" x14ac:dyDescent="0.3">
      <c r="B4" s="6" t="s">
        <v>11</v>
      </c>
      <c r="C4" s="12" t="s">
        <v>2</v>
      </c>
      <c r="D4" s="4">
        <f>HLOOKUP(C4,$B$10:$E$12,2,FALSE)</f>
        <v>700000</v>
      </c>
    </row>
    <row r="5" spans="1:5" x14ac:dyDescent="0.3">
      <c r="B5" s="6" t="s">
        <v>10</v>
      </c>
      <c r="C5" s="12" t="s">
        <v>3</v>
      </c>
      <c r="D5" s="4">
        <f>HLOOKUP(C5,$B$10:$E$12,2,FALSE)</f>
        <v>650000</v>
      </c>
    </row>
    <row r="6" spans="1:5" x14ac:dyDescent="0.3">
      <c r="B6" s="6" t="s">
        <v>9</v>
      </c>
      <c r="C6" s="12" t="s">
        <v>4</v>
      </c>
      <c r="D6" s="4">
        <f>HLOOKUP(C6,$B$10:$E$12,2,FALSE)</f>
        <v>600000</v>
      </c>
    </row>
    <row r="7" spans="1:5" ht="17.25" thickBot="1" x14ac:dyDescent="0.35">
      <c r="B7" s="3" t="s">
        <v>8</v>
      </c>
      <c r="C7" s="11" t="s">
        <v>5</v>
      </c>
      <c r="D7" s="1">
        <f>HLOOKUP(C7,$B$10:$E$12,2,FALSE)</f>
        <v>500000</v>
      </c>
    </row>
    <row r="9" spans="1:5" ht="17.25" thickBot="1" x14ac:dyDescent="0.35">
      <c r="A9" s="10" t="s">
        <v>7</v>
      </c>
      <c r="B9" s="10"/>
      <c r="C9" s="10"/>
      <c r="D9" s="10"/>
      <c r="E9" s="10"/>
    </row>
    <row r="10" spans="1:5" x14ac:dyDescent="0.3">
      <c r="A10" s="9" t="s">
        <v>6</v>
      </c>
      <c r="B10" s="8" t="s">
        <v>5</v>
      </c>
      <c r="C10" s="8" t="s">
        <v>4</v>
      </c>
      <c r="D10" s="8" t="s">
        <v>3</v>
      </c>
      <c r="E10" s="7" t="s">
        <v>2</v>
      </c>
    </row>
    <row r="11" spans="1:5" x14ac:dyDescent="0.3">
      <c r="A11" s="6" t="s">
        <v>1</v>
      </c>
      <c r="B11" s="5">
        <v>500000</v>
      </c>
      <c r="C11" s="5">
        <v>600000</v>
      </c>
      <c r="D11" s="5">
        <v>650000</v>
      </c>
      <c r="E11" s="4">
        <v>700000</v>
      </c>
    </row>
    <row r="12" spans="1:5" ht="17.25" thickBot="1" x14ac:dyDescent="0.35">
      <c r="A12" s="3" t="s">
        <v>0</v>
      </c>
      <c r="B12" s="2">
        <v>3500</v>
      </c>
      <c r="C12" s="2">
        <v>4500</v>
      </c>
      <c r="D12" s="2">
        <v>5500</v>
      </c>
      <c r="E12" s="1">
        <v>6000</v>
      </c>
    </row>
  </sheetData>
  <mergeCells count="2">
    <mergeCell ref="A9:E9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CD758-577B-4057-9B30-5D17C4C16343}">
  <dimension ref="B1:F11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9.625" bestFit="1" customWidth="1"/>
    <col min="4" max="4" width="9" customWidth="1"/>
    <col min="5" max="5" width="9.375" customWidth="1"/>
    <col min="6" max="6" width="9" customWidth="1"/>
  </cols>
  <sheetData>
    <row r="1" spans="2:6" ht="17.25" thickBot="1" x14ac:dyDescent="0.35">
      <c r="B1" s="14" t="s">
        <v>28</v>
      </c>
      <c r="C1" s="14"/>
      <c r="D1" s="14"/>
      <c r="E1" s="14"/>
      <c r="F1" s="14"/>
    </row>
    <row r="2" spans="2:6" x14ac:dyDescent="0.3">
      <c r="B2" s="9" t="s">
        <v>27</v>
      </c>
      <c r="C2" s="8" t="s">
        <v>26</v>
      </c>
      <c r="D2" s="8" t="s">
        <v>17</v>
      </c>
      <c r="E2" s="8" t="s">
        <v>25</v>
      </c>
      <c r="F2" s="13" t="s">
        <v>24</v>
      </c>
    </row>
    <row r="3" spans="2:6" x14ac:dyDescent="0.3">
      <c r="B3" s="6" t="s">
        <v>23</v>
      </c>
      <c r="C3" s="5">
        <v>2550</v>
      </c>
      <c r="D3" s="12">
        <v>55</v>
      </c>
      <c r="E3" s="5">
        <f>C3*D3</f>
        <v>140250</v>
      </c>
      <c r="F3" s="4">
        <f>ROUNDUP(E3*HLOOKUP(D3,$C$10:$E$11,2),-2)</f>
        <v>4300</v>
      </c>
    </row>
    <row r="4" spans="2:6" x14ac:dyDescent="0.3">
      <c r="B4" s="6" t="s">
        <v>22</v>
      </c>
      <c r="C4" s="5">
        <v>12350</v>
      </c>
      <c r="D4" s="12">
        <v>65</v>
      </c>
      <c r="E4" s="5">
        <f>C4*D4</f>
        <v>802750</v>
      </c>
      <c r="F4" s="4">
        <f>ROUNDUP(E4*HLOOKUP(D4,$C$10:$E$11,2),-2)</f>
        <v>24100</v>
      </c>
    </row>
    <row r="5" spans="2:6" x14ac:dyDescent="0.3">
      <c r="B5" s="6" t="s">
        <v>21</v>
      </c>
      <c r="C5" s="5">
        <v>3450</v>
      </c>
      <c r="D5" s="12">
        <v>60</v>
      </c>
      <c r="E5" s="5">
        <f>C5*D5</f>
        <v>207000</v>
      </c>
      <c r="F5" s="4">
        <f>ROUNDUP(E5*HLOOKUP(D5,$C$10:$E$11,2),-2)</f>
        <v>6300</v>
      </c>
    </row>
    <row r="6" spans="2:6" x14ac:dyDescent="0.3">
      <c r="B6" s="6" t="s">
        <v>20</v>
      </c>
      <c r="C6" s="5">
        <v>765</v>
      </c>
      <c r="D6" s="12">
        <v>100</v>
      </c>
      <c r="E6" s="5">
        <f>C6*D6</f>
        <v>76500</v>
      </c>
      <c r="F6" s="4">
        <f>ROUNDUP(E6*HLOOKUP(D6,$C$10:$E$11,2),-2)</f>
        <v>4600</v>
      </c>
    </row>
    <row r="7" spans="2:6" ht="17.25" thickBot="1" x14ac:dyDescent="0.35">
      <c r="B7" s="3" t="s">
        <v>19</v>
      </c>
      <c r="C7" s="2">
        <v>7650</v>
      </c>
      <c r="D7" s="11">
        <v>77</v>
      </c>
      <c r="E7" s="2">
        <f>C7*D7</f>
        <v>589050</v>
      </c>
      <c r="F7" s="1">
        <f>ROUNDUP(E7*HLOOKUP(D7,$C$10:$E$11,2),-2)</f>
        <v>35400</v>
      </c>
    </row>
    <row r="9" spans="2:6" ht="17.25" thickBot="1" x14ac:dyDescent="0.35">
      <c r="B9" s="10" t="s">
        <v>18</v>
      </c>
      <c r="C9" s="10"/>
      <c r="D9" s="10"/>
      <c r="E9" s="10"/>
    </row>
    <row r="10" spans="2:6" x14ac:dyDescent="0.3">
      <c r="B10" s="9" t="s">
        <v>17</v>
      </c>
      <c r="C10" s="8">
        <v>1</v>
      </c>
      <c r="D10" s="8">
        <v>40</v>
      </c>
      <c r="E10" s="7">
        <v>70</v>
      </c>
    </row>
    <row r="11" spans="2:6" ht="17.25" thickBot="1" x14ac:dyDescent="0.35">
      <c r="B11" s="3" t="s">
        <v>16</v>
      </c>
      <c r="C11" s="16">
        <v>0</v>
      </c>
      <c r="D11" s="16">
        <v>0.03</v>
      </c>
      <c r="E11" s="15">
        <v>0.06</v>
      </c>
    </row>
  </sheetData>
  <mergeCells count="2">
    <mergeCell ref="B1:F1"/>
    <mergeCell ref="B9:E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2023-04-27T04:32:29Z</dcterms:modified>
</cp:coreProperties>
</file>