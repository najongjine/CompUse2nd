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EDA46A56-7700-4BED-A9DA-392A4EB75574}" xr6:coauthVersionLast="47" xr6:coauthVersionMax="47" xr10:uidLastSave="{00000000-0000-0000-0000-000000000000}"/>
  <bookViews>
    <workbookView xWindow="760" yWindow="760" windowWidth="22910" windowHeight="18580" tabRatio="825" xr2:uid="{1EA7D4BC-0E71-467A-81F4-8371BAA0CFDB}"/>
  </bookViews>
  <sheets>
    <sheet name="출제유형_01" sheetId="6" r:id="rId1"/>
    <sheet name="시나리오 요약" sheetId="24" r:id="rId2"/>
    <sheet name="02" sheetId="23" r:id="rId3"/>
    <sheet name="시나리오 요약 2" sheetId="25" r:id="rId4"/>
    <sheet name="대표기출문제_기출1" sheetId="1" r:id="rId5"/>
    <sheet name="기출2" sheetId="3" r:id="rId6"/>
    <sheet name="시나리오 요약 3" sheetId="26" r:id="rId7"/>
  </sheets>
  <definedNames>
    <definedName name="강호정부장">기출2!$G$4</definedName>
    <definedName name="버스요금" localSheetId="2">'02'!$B$4</definedName>
    <definedName name="버스요금">출제유형_01!$B$4</definedName>
    <definedName name="상여급비율">기출2!$C$18</definedName>
    <definedName name="세금비율">기출2!$C$19</definedName>
    <definedName name="영업이익">'02'!$B$8</definedName>
    <definedName name="조광희부장">기출2!$G$5</definedName>
    <definedName name="판매가">대표기출문제_기출1!$E$13</definedName>
    <definedName name="판매총액합계">대표기출문제_기출1!$E$11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3" l="1"/>
  <c r="B8" i="23" s="1"/>
  <c r="B9" i="23" s="1"/>
  <c r="E4" i="3" l="1"/>
  <c r="F4" i="3" s="1"/>
  <c r="E5" i="3"/>
  <c r="F5" i="3" s="1"/>
  <c r="E6" i="3"/>
  <c r="E7" i="3"/>
  <c r="F7" i="3" s="1"/>
  <c r="E8" i="3"/>
  <c r="F8" i="3"/>
  <c r="G8" i="3" s="1"/>
  <c r="E9" i="3"/>
  <c r="F9" i="3" s="1"/>
  <c r="G9" i="3" s="1"/>
  <c r="E10" i="3"/>
  <c r="F10" i="3" s="1"/>
  <c r="G10" i="3" s="1"/>
  <c r="E11" i="3"/>
  <c r="F11" i="3"/>
  <c r="E12" i="3"/>
  <c r="F12" i="3" s="1"/>
  <c r="E13" i="3"/>
  <c r="F13" i="3" s="1"/>
  <c r="G13" i="3" s="1"/>
  <c r="E14" i="3"/>
  <c r="F14" i="3" s="1"/>
  <c r="E15" i="3"/>
  <c r="F15" i="3" s="1"/>
  <c r="E5" i="1"/>
  <c r="E6" i="1"/>
  <c r="E7" i="1"/>
  <c r="E8" i="1"/>
  <c r="E9" i="1"/>
  <c r="E10" i="1"/>
  <c r="E4" i="1"/>
  <c r="B6" i="6"/>
  <c r="B8" i="6" s="1"/>
  <c r="B9" i="6" s="1"/>
  <c r="F6" i="3" l="1"/>
  <c r="G6" i="3" s="1"/>
  <c r="G11" i="3"/>
  <c r="E11" i="1"/>
  <c r="G4" i="3"/>
  <c r="G14" i="3"/>
  <c r="G12" i="3"/>
  <c r="G5" i="3"/>
  <c r="G15" i="3"/>
  <c r="G7" i="3"/>
  <c r="G16" i="3" l="1"/>
</calcChain>
</file>

<file path=xl/sharedStrings.xml><?xml version="1.0" encoding="utf-8"?>
<sst xmlns="http://schemas.openxmlformats.org/spreadsheetml/2006/main" count="103" uniqueCount="70">
  <si>
    <t>이익율 계산</t>
    <phoneticPr fontId="1" type="noConversion"/>
  </si>
  <si>
    <t>항목</t>
  </si>
  <si>
    <t>금액</t>
  </si>
  <si>
    <t>버스요금</t>
  </si>
  <si>
    <t>이용고객</t>
  </si>
  <si>
    <t>매출총액</t>
  </si>
  <si>
    <t>운영비</t>
  </si>
  <si>
    <t>영업이익</t>
  </si>
  <si>
    <t>영업이익률</t>
  </si>
  <si>
    <t>컴퓨터 판매 현황</t>
  </si>
  <si>
    <t>대리점</t>
  </si>
  <si>
    <t>입고량</t>
  </si>
  <si>
    <t>판매량</t>
  </si>
  <si>
    <t>재고량</t>
  </si>
  <si>
    <t>판매총액</t>
  </si>
  <si>
    <t>서울점</t>
  </si>
  <si>
    <t>경기점</t>
  </si>
  <si>
    <t>강원점</t>
  </si>
  <si>
    <t>충청점</t>
  </si>
  <si>
    <t>전라점</t>
  </si>
  <si>
    <t>경상점</t>
  </si>
  <si>
    <t>제주점</t>
  </si>
  <si>
    <t>합계</t>
  </si>
  <si>
    <t>판매가</t>
    <phoneticPr fontId="1" type="noConversion"/>
  </si>
  <si>
    <t>급여 지급 현황</t>
  </si>
  <si>
    <t>사원명</t>
  </si>
  <si>
    <t>직위</t>
  </si>
  <si>
    <t>호봉</t>
  </si>
  <si>
    <t>기본급</t>
  </si>
  <si>
    <t>상여급</t>
  </si>
  <si>
    <t>세금</t>
  </si>
  <si>
    <t>실지급액</t>
  </si>
  <si>
    <t>강호정</t>
  </si>
  <si>
    <t>부장</t>
  </si>
  <si>
    <t>조광희</t>
  </si>
  <si>
    <t>최성완</t>
  </si>
  <si>
    <t>과장</t>
  </si>
  <si>
    <t>김영수</t>
  </si>
  <si>
    <t>이강실</t>
  </si>
  <si>
    <t>윤정희</t>
  </si>
  <si>
    <t>대리</t>
  </si>
  <si>
    <t>임선호</t>
  </si>
  <si>
    <t>유기정</t>
  </si>
  <si>
    <t>박해수</t>
  </si>
  <si>
    <t>지승대</t>
  </si>
  <si>
    <t>사원</t>
  </si>
  <si>
    <t>김경아</t>
  </si>
  <si>
    <t>이가영</t>
  </si>
  <si>
    <t>실지급액 합계</t>
  </si>
  <si>
    <t>비율</t>
    <phoneticPr fontId="1" type="noConversion"/>
  </si>
  <si>
    <t>상여급</t>
    <phoneticPr fontId="1" type="noConversion"/>
  </si>
  <si>
    <t>세금</t>
    <phoneticPr fontId="1" type="noConversion"/>
  </si>
  <si>
    <t>100원인하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</si>
  <si>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</si>
  <si>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</si>
  <si>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</si>
  <si>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</si>
  <si>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</si>
  <si>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</si>
  <si>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</si>
  <si>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판매가</t>
  </si>
  <si>
    <t>판매총액합계</t>
  </si>
  <si>
    <t>판매가인상</t>
  </si>
  <si>
    <t>판매가인하</t>
  </si>
  <si>
    <t>상여급비율</t>
  </si>
  <si>
    <t>세금비율</t>
  </si>
  <si>
    <t>강호정부장</t>
  </si>
  <si>
    <t>조광희부장</t>
  </si>
  <si>
    <t>비율인상</t>
  </si>
  <si>
    <t>비율인하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</si>
</sst>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2" applyNumberFormat="1" applyFont="1" applyBorder="1" applyAlignment="1">
      <alignment horizontal="left" vertical="center" indent="3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5" fillId="2" borderId="9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9" fillId="0" borderId="0" xfId="0" applyFont="1" applyFill="1" applyBorder="1" applyAlignment="1">
      <alignment vertical="top" wrapText="1"/>
    </xf>
    <xf numFmtId="9" fontId="0" fillId="0" borderId="0" xfId="0" applyNumberFormat="1" applyFill="1" applyBorder="1" applyAlignment="1">
      <alignment vertical="center"/>
    </xf>
    <xf numFmtId="9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B9"/>
  <sheetViews>
    <sheetView tabSelected="1"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24" t="s">
        <v>0</v>
      </c>
      <c r="B1" s="24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4653-915E-4A4D-A4BD-3E43846B6F13}">
  <sheetPr>
    <outlinePr summaryBelow="0"/>
  </sheetPr>
  <dimension ref="B1:E11"/>
  <sheetViews>
    <sheetView showGridLines="0" workbookViewId="0"/>
  </sheetViews>
  <sheetFormatPr defaultRowHeight="17" outlineLevelRow="1" outlineLevelCol="1" x14ac:dyDescent="0.45"/>
  <cols>
    <col min="3" max="3" width="8.5" bestFit="1" customWidth="1"/>
    <col min="4" max="5" width="10.58203125" bestFit="1" customWidth="1" outlineLevel="1"/>
  </cols>
  <sheetData>
    <row r="1" spans="2:5" ht="17.5" thickBot="1" x14ac:dyDescent="0.5"/>
    <row r="2" spans="2:5" x14ac:dyDescent="0.45">
      <c r="B2" s="11" t="s">
        <v>53</v>
      </c>
      <c r="C2" s="12"/>
      <c r="D2" s="18"/>
      <c r="E2" s="18"/>
    </row>
    <row r="3" spans="2:5" collapsed="1" x14ac:dyDescent="0.45">
      <c r="B3" s="10"/>
      <c r="C3" s="10"/>
      <c r="D3" s="19" t="s">
        <v>55</v>
      </c>
      <c r="E3" s="19" t="s">
        <v>52</v>
      </c>
    </row>
    <row r="4" spans="2:5" hidden="1" outlineLevel="1" x14ac:dyDescent="0.45">
      <c r="B4" s="14"/>
      <c r="C4" s="14"/>
      <c r="D4" s="7"/>
      <c r="E4" s="21"/>
    </row>
    <row r="5" spans="2:5" x14ac:dyDescent="0.45">
      <c r="B5" s="15" t="s">
        <v>54</v>
      </c>
      <c r="C5" s="16"/>
      <c r="D5" s="13"/>
      <c r="E5" s="13"/>
    </row>
    <row r="6" spans="2:5" outlineLevel="1" x14ac:dyDescent="0.45">
      <c r="B6" s="14"/>
      <c r="C6" s="14" t="s">
        <v>3</v>
      </c>
      <c r="D6" s="8">
        <v>1000</v>
      </c>
      <c r="E6" s="20">
        <v>900</v>
      </c>
    </row>
    <row r="7" spans="2:5" x14ac:dyDescent="0.45">
      <c r="B7" s="15" t="s">
        <v>56</v>
      </c>
      <c r="C7" s="16"/>
      <c r="D7" s="13"/>
      <c r="E7" s="13"/>
    </row>
    <row r="8" spans="2:5" ht="17.5" outlineLevel="1" thickBot="1" x14ac:dyDescent="0.5">
      <c r="B8" s="17"/>
      <c r="C8" s="17" t="s">
        <v>7</v>
      </c>
      <c r="D8" s="9">
        <v>1000000</v>
      </c>
      <c r="E8" s="9">
        <v>700000</v>
      </c>
    </row>
    <row r="9" spans="2:5" x14ac:dyDescent="0.45">
      <c r="B9" t="s">
        <v>57</v>
      </c>
    </row>
    <row r="10" spans="2:5" x14ac:dyDescent="0.45">
      <c r="B10" t="s">
        <v>58</v>
      </c>
    </row>
    <row r="11" spans="2:5" x14ac:dyDescent="0.45">
      <c r="B11" t="s">
        <v>59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C8C7-5989-47BB-BD55-689357B048EB}">
  <dimension ref="A1:B9"/>
  <sheetViews>
    <sheetView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24" t="s">
        <v>0</v>
      </c>
      <c r="B1" s="24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scenarios current="0" sqref="B8">
    <scenario name="100원인하" locked="1" count="1" user="istrator admin">
      <inputCells r="B4" val="900" numFmtId="41"/>
    </scenario>
  </scenarios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05188-E105-4846-9077-528C053507D1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2.33203125" bestFit="1" customWidth="1"/>
    <col min="4" max="6" width="12.6640625" bestFit="1" customWidth="1" outlineLevel="1"/>
  </cols>
  <sheetData>
    <row r="1" spans="2:6" ht="17.5" thickBot="1" x14ac:dyDescent="0.5"/>
    <row r="2" spans="2:6" x14ac:dyDescent="0.45">
      <c r="B2" s="11" t="s">
        <v>53</v>
      </c>
      <c r="C2" s="12"/>
      <c r="D2" s="18"/>
      <c r="E2" s="18"/>
      <c r="F2" s="18"/>
    </row>
    <row r="3" spans="2:6" collapsed="1" x14ac:dyDescent="0.45">
      <c r="B3" s="10"/>
      <c r="C3" s="10"/>
      <c r="D3" s="19" t="s">
        <v>55</v>
      </c>
      <c r="E3" s="19" t="s">
        <v>62</v>
      </c>
      <c r="F3" s="19" t="s">
        <v>63</v>
      </c>
    </row>
    <row r="4" spans="2:6" hidden="1" outlineLevel="1" x14ac:dyDescent="0.45">
      <c r="B4" s="14"/>
      <c r="C4" s="14"/>
      <c r="D4" s="7"/>
      <c r="E4" s="21"/>
      <c r="F4" s="21"/>
    </row>
    <row r="5" spans="2:6" x14ac:dyDescent="0.45">
      <c r="B5" s="15" t="s">
        <v>54</v>
      </c>
      <c r="C5" s="16"/>
      <c r="D5" s="13"/>
      <c r="E5" s="13"/>
      <c r="F5" s="13"/>
    </row>
    <row r="6" spans="2:6" outlineLevel="1" x14ac:dyDescent="0.45">
      <c r="B6" s="14"/>
      <c r="C6" s="14" t="s">
        <v>60</v>
      </c>
      <c r="D6" s="8">
        <v>500000</v>
      </c>
      <c r="E6" s="20">
        <v>600000</v>
      </c>
      <c r="F6" s="20">
        <v>400000</v>
      </c>
    </row>
    <row r="7" spans="2:6" x14ac:dyDescent="0.45">
      <c r="B7" s="15" t="s">
        <v>56</v>
      </c>
      <c r="C7" s="16"/>
      <c r="D7" s="13"/>
      <c r="E7" s="13"/>
      <c r="F7" s="13"/>
    </row>
    <row r="8" spans="2:6" ht="17.5" outlineLevel="1" thickBot="1" x14ac:dyDescent="0.5">
      <c r="B8" s="17"/>
      <c r="C8" s="17" t="s">
        <v>61</v>
      </c>
      <c r="D8" s="9">
        <v>353500000</v>
      </c>
      <c r="E8" s="9">
        <v>424200000</v>
      </c>
      <c r="F8" s="9">
        <v>282800000</v>
      </c>
    </row>
    <row r="9" spans="2:6" x14ac:dyDescent="0.45">
      <c r="B9" t="s">
        <v>57</v>
      </c>
    </row>
    <row r="10" spans="2:6" x14ac:dyDescent="0.45">
      <c r="B10" t="s">
        <v>58</v>
      </c>
    </row>
    <row r="11" spans="2:6" x14ac:dyDescent="0.45">
      <c r="B11" t="s">
        <v>59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3"/>
  <sheetViews>
    <sheetView workbookViewId="0">
      <selection sqref="A1:E1"/>
    </sheetView>
  </sheetViews>
  <sheetFormatPr defaultRowHeight="17" x14ac:dyDescent="0.45"/>
  <cols>
    <col min="5" max="5" width="12.6640625" bestFit="1" customWidth="1"/>
  </cols>
  <sheetData>
    <row r="1" spans="1:5" x14ac:dyDescent="0.45">
      <c r="A1" s="24" t="s">
        <v>9</v>
      </c>
      <c r="B1" s="24"/>
      <c r="C1" s="24"/>
      <c r="D1" s="24"/>
      <c r="E1" s="24"/>
    </row>
    <row r="3" spans="1:5" x14ac:dyDescent="0.45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45">
      <c r="A4" s="3" t="s">
        <v>15</v>
      </c>
      <c r="B4" s="4">
        <v>150</v>
      </c>
      <c r="C4" s="4">
        <v>135</v>
      </c>
      <c r="D4" s="4">
        <v>15</v>
      </c>
      <c r="E4" s="4">
        <f>C4*$E$13</f>
        <v>67500000</v>
      </c>
    </row>
    <row r="5" spans="1:5" x14ac:dyDescent="0.45">
      <c r="A5" s="3" t="s">
        <v>16</v>
      </c>
      <c r="B5" s="4">
        <v>145</v>
      </c>
      <c r="C5" s="4">
        <v>119</v>
      </c>
      <c r="D5" s="4">
        <v>26</v>
      </c>
      <c r="E5" s="4">
        <f t="shared" ref="E5:E10" si="0">C5*$E$13</f>
        <v>59500000</v>
      </c>
    </row>
    <row r="6" spans="1:5" x14ac:dyDescent="0.45">
      <c r="A6" s="3" t="s">
        <v>17</v>
      </c>
      <c r="B6" s="4">
        <v>80</v>
      </c>
      <c r="C6" s="4">
        <v>73</v>
      </c>
      <c r="D6" s="4">
        <v>7</v>
      </c>
      <c r="E6" s="4">
        <f t="shared" si="0"/>
        <v>36500000</v>
      </c>
    </row>
    <row r="7" spans="1:5" x14ac:dyDescent="0.45">
      <c r="A7" s="3" t="s">
        <v>18</v>
      </c>
      <c r="B7" s="4">
        <v>120</v>
      </c>
      <c r="C7" s="4">
        <v>116</v>
      </c>
      <c r="D7" s="4">
        <v>4</v>
      </c>
      <c r="E7" s="4">
        <f t="shared" si="0"/>
        <v>58000000</v>
      </c>
    </row>
    <row r="8" spans="1:5" x14ac:dyDescent="0.45">
      <c r="A8" s="3" t="s">
        <v>19</v>
      </c>
      <c r="B8" s="4">
        <v>130</v>
      </c>
      <c r="C8" s="4">
        <v>106</v>
      </c>
      <c r="D8" s="4">
        <v>24</v>
      </c>
      <c r="E8" s="4">
        <f t="shared" si="0"/>
        <v>53000000</v>
      </c>
    </row>
    <row r="9" spans="1:5" x14ac:dyDescent="0.45">
      <c r="A9" s="3" t="s">
        <v>20</v>
      </c>
      <c r="B9" s="4">
        <v>115</v>
      </c>
      <c r="C9" s="4">
        <v>97</v>
      </c>
      <c r="D9" s="4">
        <v>18</v>
      </c>
      <c r="E9" s="4">
        <f t="shared" si="0"/>
        <v>48500000</v>
      </c>
    </row>
    <row r="10" spans="1:5" x14ac:dyDescent="0.45">
      <c r="A10" s="3" t="s">
        <v>21</v>
      </c>
      <c r="B10" s="4">
        <v>80</v>
      </c>
      <c r="C10" s="4">
        <v>61</v>
      </c>
      <c r="D10" s="4">
        <v>19</v>
      </c>
      <c r="E10" s="4">
        <f t="shared" si="0"/>
        <v>30500000</v>
      </c>
    </row>
    <row r="11" spans="1:5" x14ac:dyDescent="0.45">
      <c r="A11" s="25" t="s">
        <v>22</v>
      </c>
      <c r="B11" s="26"/>
      <c r="C11" s="26"/>
      <c r="D11" s="27"/>
      <c r="E11" s="4">
        <f>SUM(E4:E10)</f>
        <v>353500000</v>
      </c>
    </row>
    <row r="13" spans="1:5" x14ac:dyDescent="0.45">
      <c r="D13" s="3" t="s">
        <v>23</v>
      </c>
      <c r="E13" s="4">
        <v>500000</v>
      </c>
    </row>
  </sheetData>
  <scenarios current="0" sqref="E11">
    <scenario name="판매가인상" locked="1" count="1" user="istrator admin">
      <inputCells r="E13" val="600000" numFmtId="41"/>
    </scenario>
    <scenario name="판매가인하" locked="1" count="1" user="istrator admin">
      <inputCells r="E13" val="400000" numFmtId="41"/>
    </scenario>
  </scenarios>
  <mergeCells count="2">
    <mergeCell ref="A1:E1"/>
    <mergeCell ref="A11:D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9"/>
  <sheetViews>
    <sheetView workbookViewId="0">
      <selection sqref="A1:G1"/>
    </sheetView>
  </sheetViews>
  <sheetFormatPr defaultRowHeight="17" x14ac:dyDescent="0.45"/>
  <cols>
    <col min="4" max="6" width="10.83203125" bestFit="1" customWidth="1"/>
    <col min="7" max="7" width="11.83203125" bestFit="1" customWidth="1"/>
  </cols>
  <sheetData>
    <row r="1" spans="1:7" x14ac:dyDescent="0.45">
      <c r="A1" s="24" t="s">
        <v>24</v>
      </c>
      <c r="B1" s="24"/>
      <c r="C1" s="24"/>
      <c r="D1" s="24"/>
      <c r="E1" s="24"/>
      <c r="F1" s="24"/>
      <c r="G1" s="24"/>
    </row>
    <row r="3" spans="1:7" x14ac:dyDescent="0.45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45">
      <c r="A4" s="3" t="s">
        <v>32</v>
      </c>
      <c r="B4" s="3" t="s">
        <v>33</v>
      </c>
      <c r="C4" s="3">
        <v>5</v>
      </c>
      <c r="D4" s="4">
        <v>4750000</v>
      </c>
      <c r="E4" s="4">
        <f t="shared" ref="E4:E15" si="0">D4*$C$18</f>
        <v>2375000</v>
      </c>
      <c r="F4" s="4">
        <f t="shared" ref="F4:F15" si="1">(D4+E4)*$C$19</f>
        <v>1068750</v>
      </c>
      <c r="G4" s="4">
        <f t="shared" ref="G4:G15" si="2">D4+E4-F4</f>
        <v>6056250</v>
      </c>
    </row>
    <row r="5" spans="1:7" x14ac:dyDescent="0.45">
      <c r="A5" s="3" t="s">
        <v>34</v>
      </c>
      <c r="B5" s="3" t="s">
        <v>33</v>
      </c>
      <c r="C5" s="3">
        <v>3</v>
      </c>
      <c r="D5" s="4">
        <v>4450000</v>
      </c>
      <c r="E5" s="4">
        <f t="shared" si="0"/>
        <v>2225000</v>
      </c>
      <c r="F5" s="4">
        <f t="shared" si="1"/>
        <v>1001250</v>
      </c>
      <c r="G5" s="4">
        <f t="shared" si="2"/>
        <v>5673750</v>
      </c>
    </row>
    <row r="6" spans="1:7" x14ac:dyDescent="0.45">
      <c r="A6" s="3" t="s">
        <v>35</v>
      </c>
      <c r="B6" s="3" t="s">
        <v>36</v>
      </c>
      <c r="C6" s="3">
        <v>4</v>
      </c>
      <c r="D6" s="4">
        <v>4100000</v>
      </c>
      <c r="E6" s="4">
        <f t="shared" si="0"/>
        <v>2050000</v>
      </c>
      <c r="F6" s="4">
        <f t="shared" si="1"/>
        <v>922500</v>
      </c>
      <c r="G6" s="4">
        <f t="shared" si="2"/>
        <v>5227500</v>
      </c>
    </row>
    <row r="7" spans="1:7" x14ac:dyDescent="0.45">
      <c r="A7" s="3" t="s">
        <v>37</v>
      </c>
      <c r="B7" s="3" t="s">
        <v>36</v>
      </c>
      <c r="C7" s="3">
        <v>2</v>
      </c>
      <c r="D7" s="4">
        <v>3800000</v>
      </c>
      <c r="E7" s="4">
        <f t="shared" si="0"/>
        <v>1900000</v>
      </c>
      <c r="F7" s="4">
        <f t="shared" si="1"/>
        <v>855000</v>
      </c>
      <c r="G7" s="4">
        <f t="shared" si="2"/>
        <v>4845000</v>
      </c>
    </row>
    <row r="8" spans="1:7" x14ac:dyDescent="0.45">
      <c r="A8" s="3" t="s">
        <v>38</v>
      </c>
      <c r="B8" s="3" t="s">
        <v>36</v>
      </c>
      <c r="C8" s="3">
        <v>1</v>
      </c>
      <c r="D8" s="4">
        <v>3650000</v>
      </c>
      <c r="E8" s="4">
        <f t="shared" si="0"/>
        <v>1825000</v>
      </c>
      <c r="F8" s="4">
        <f t="shared" si="1"/>
        <v>821250</v>
      </c>
      <c r="G8" s="4">
        <f t="shared" si="2"/>
        <v>4653750</v>
      </c>
    </row>
    <row r="9" spans="1:7" x14ac:dyDescent="0.45">
      <c r="A9" s="3" t="s">
        <v>39</v>
      </c>
      <c r="B9" s="3" t="s">
        <v>40</v>
      </c>
      <c r="C9" s="3">
        <v>5</v>
      </c>
      <c r="D9" s="4">
        <v>3400000</v>
      </c>
      <c r="E9" s="4">
        <f t="shared" si="0"/>
        <v>1700000</v>
      </c>
      <c r="F9" s="4">
        <f t="shared" si="1"/>
        <v>765000</v>
      </c>
      <c r="G9" s="4">
        <f t="shared" si="2"/>
        <v>4335000</v>
      </c>
    </row>
    <row r="10" spans="1:7" x14ac:dyDescent="0.45">
      <c r="A10" s="3" t="s">
        <v>41</v>
      </c>
      <c r="B10" s="3" t="s">
        <v>40</v>
      </c>
      <c r="C10" s="3">
        <v>3</v>
      </c>
      <c r="D10" s="4">
        <v>3100000</v>
      </c>
      <c r="E10" s="4">
        <f t="shared" si="0"/>
        <v>1550000</v>
      </c>
      <c r="F10" s="4">
        <f t="shared" si="1"/>
        <v>697500</v>
      </c>
      <c r="G10" s="4">
        <f t="shared" si="2"/>
        <v>3952500</v>
      </c>
    </row>
    <row r="11" spans="1:7" x14ac:dyDescent="0.45">
      <c r="A11" s="3" t="s">
        <v>42</v>
      </c>
      <c r="B11" s="3" t="s">
        <v>40</v>
      </c>
      <c r="C11" s="3">
        <v>2</v>
      </c>
      <c r="D11" s="4">
        <v>2950000</v>
      </c>
      <c r="E11" s="4">
        <f t="shared" si="0"/>
        <v>1475000</v>
      </c>
      <c r="F11" s="4">
        <f t="shared" si="1"/>
        <v>663750</v>
      </c>
      <c r="G11" s="4">
        <f t="shared" si="2"/>
        <v>3761250</v>
      </c>
    </row>
    <row r="12" spans="1:7" x14ac:dyDescent="0.45">
      <c r="A12" s="3" t="s">
        <v>43</v>
      </c>
      <c r="B12" s="3" t="s">
        <v>40</v>
      </c>
      <c r="C12" s="3">
        <v>1</v>
      </c>
      <c r="D12" s="4">
        <v>2800000</v>
      </c>
      <c r="E12" s="4">
        <f t="shared" si="0"/>
        <v>1400000</v>
      </c>
      <c r="F12" s="4">
        <f t="shared" si="1"/>
        <v>630000</v>
      </c>
      <c r="G12" s="4">
        <f t="shared" si="2"/>
        <v>3570000</v>
      </c>
    </row>
    <row r="13" spans="1:7" x14ac:dyDescent="0.45">
      <c r="A13" s="3" t="s">
        <v>44</v>
      </c>
      <c r="B13" s="3" t="s">
        <v>45</v>
      </c>
      <c r="C13" s="3">
        <v>3</v>
      </c>
      <c r="D13" s="4">
        <v>2600000</v>
      </c>
      <c r="E13" s="4">
        <f t="shared" si="0"/>
        <v>1300000</v>
      </c>
      <c r="F13" s="4">
        <f t="shared" si="1"/>
        <v>585000</v>
      </c>
      <c r="G13" s="4">
        <f t="shared" si="2"/>
        <v>3315000</v>
      </c>
    </row>
    <row r="14" spans="1:7" x14ac:dyDescent="0.45">
      <c r="A14" s="3" t="s">
        <v>46</v>
      </c>
      <c r="B14" s="3" t="s">
        <v>45</v>
      </c>
      <c r="C14" s="3">
        <v>2</v>
      </c>
      <c r="D14" s="4">
        <v>2450000</v>
      </c>
      <c r="E14" s="4">
        <f t="shared" si="0"/>
        <v>1225000</v>
      </c>
      <c r="F14" s="4">
        <f t="shared" si="1"/>
        <v>551250</v>
      </c>
      <c r="G14" s="4">
        <f t="shared" si="2"/>
        <v>3123750</v>
      </c>
    </row>
    <row r="15" spans="1:7" x14ac:dyDescent="0.45">
      <c r="A15" s="3" t="s">
        <v>47</v>
      </c>
      <c r="B15" s="3" t="s">
        <v>45</v>
      </c>
      <c r="C15" s="3">
        <v>1</v>
      </c>
      <c r="D15" s="4">
        <v>2300000</v>
      </c>
      <c r="E15" s="4">
        <f t="shared" si="0"/>
        <v>1150000</v>
      </c>
      <c r="F15" s="4">
        <f t="shared" si="1"/>
        <v>517500</v>
      </c>
      <c r="G15" s="4">
        <f t="shared" si="2"/>
        <v>2932500</v>
      </c>
    </row>
    <row r="16" spans="1:7" x14ac:dyDescent="0.45">
      <c r="A16" s="25" t="s">
        <v>48</v>
      </c>
      <c r="B16" s="26"/>
      <c r="C16" s="26"/>
      <c r="D16" s="26"/>
      <c r="E16" s="26"/>
      <c r="F16" s="27"/>
      <c r="G16" s="4">
        <f>SUM(G4:G15)</f>
        <v>51446250</v>
      </c>
    </row>
    <row r="18" spans="1:3" x14ac:dyDescent="0.45">
      <c r="A18" s="28" t="s">
        <v>49</v>
      </c>
      <c r="B18" s="3" t="s">
        <v>50</v>
      </c>
      <c r="C18" s="5">
        <v>0.5</v>
      </c>
    </row>
    <row r="19" spans="1:3" x14ac:dyDescent="0.45">
      <c r="A19" s="29"/>
      <c r="B19" s="3" t="s">
        <v>51</v>
      </c>
      <c r="C19" s="5">
        <v>0.15</v>
      </c>
    </row>
  </sheetData>
  <scenarios current="0" sqref="G4:G5">
    <scenario name="비율인상" locked="1" count="2" user="istrator admin">
      <inputCells r="C18" val="0.6" numFmtId="9"/>
      <inputCells r="C19" val="0.2" numFmtId="9"/>
    </scenario>
    <scenario name="비율인하" locked="1" count="2" user="istrator admin">
      <inputCells r="C18" val="0.4" numFmtId="9"/>
      <inputCells r="C19" val="0.1" numFmtId="9"/>
    </scenario>
  </scenarios>
  <mergeCells count="3">
    <mergeCell ref="A1:G1"/>
    <mergeCell ref="A16:F16"/>
    <mergeCell ref="A18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569A-FDF2-444D-84B2-A22A645CFD69}">
  <sheetPr>
    <tabColor theme="7" tint="0.59999389629810485"/>
    <outlinePr summaryBelow="0"/>
  </sheetPr>
  <dimension ref="B1:F13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11" t="s">
        <v>53</v>
      </c>
      <c r="C2" s="12"/>
      <c r="D2" s="18"/>
      <c r="E2" s="18"/>
      <c r="F2" s="18"/>
    </row>
    <row r="3" spans="2:6" collapsed="1" x14ac:dyDescent="0.45">
      <c r="B3" s="10"/>
      <c r="C3" s="10"/>
      <c r="D3" s="19" t="s">
        <v>55</v>
      </c>
      <c r="E3" s="19" t="s">
        <v>68</v>
      </c>
      <c r="F3" s="19" t="s">
        <v>69</v>
      </c>
    </row>
    <row r="4" spans="2:6" hidden="1" outlineLevel="1" x14ac:dyDescent="0.45">
      <c r="B4" s="14"/>
      <c r="C4" s="14"/>
      <c r="D4" s="7"/>
      <c r="E4" s="21"/>
      <c r="F4" s="21"/>
    </row>
    <row r="5" spans="2:6" x14ac:dyDescent="0.45">
      <c r="B5" s="15" t="s">
        <v>54</v>
      </c>
      <c r="C5" s="16"/>
      <c r="D5" s="13"/>
      <c r="E5" s="13"/>
      <c r="F5" s="13"/>
    </row>
    <row r="6" spans="2:6" outlineLevel="1" x14ac:dyDescent="0.45">
      <c r="B6" s="14"/>
      <c r="C6" s="14" t="s">
        <v>64</v>
      </c>
      <c r="D6" s="22">
        <v>0.5</v>
      </c>
      <c r="E6" s="23">
        <v>0.6</v>
      </c>
      <c r="F6" s="23">
        <v>0.4</v>
      </c>
    </row>
    <row r="7" spans="2:6" outlineLevel="1" x14ac:dyDescent="0.45">
      <c r="B7" s="14"/>
      <c r="C7" s="14" t="s">
        <v>65</v>
      </c>
      <c r="D7" s="22">
        <v>0.15</v>
      </c>
      <c r="E7" s="23">
        <v>0.2</v>
      </c>
      <c r="F7" s="23">
        <v>0.1</v>
      </c>
    </row>
    <row r="8" spans="2:6" x14ac:dyDescent="0.45">
      <c r="B8" s="15" t="s">
        <v>56</v>
      </c>
      <c r="C8" s="16"/>
      <c r="D8" s="13"/>
      <c r="E8" s="13"/>
      <c r="F8" s="13"/>
    </row>
    <row r="9" spans="2:6" outlineLevel="1" x14ac:dyDescent="0.45">
      <c r="B9" s="14"/>
      <c r="C9" s="14" t="s">
        <v>66</v>
      </c>
      <c r="D9" s="8">
        <v>6056250</v>
      </c>
      <c r="E9" s="8">
        <v>6080000</v>
      </c>
      <c r="F9" s="8">
        <v>5985000</v>
      </c>
    </row>
    <row r="10" spans="2:6" ht="17.5" outlineLevel="1" thickBot="1" x14ac:dyDescent="0.5">
      <c r="B10" s="17"/>
      <c r="C10" s="17" t="s">
        <v>67</v>
      </c>
      <c r="D10" s="9">
        <v>5673750</v>
      </c>
      <c r="E10" s="9">
        <v>5696000</v>
      </c>
      <c r="F10" s="9">
        <v>5607000</v>
      </c>
    </row>
    <row r="11" spans="2:6" x14ac:dyDescent="0.45">
      <c r="B11" t="s">
        <v>57</v>
      </c>
    </row>
    <row r="12" spans="2:6" x14ac:dyDescent="0.45">
      <c r="B12" t="s">
        <v>58</v>
      </c>
    </row>
    <row r="13" spans="2:6" x14ac:dyDescent="0.45">
      <c r="B13" t="s">
        <v>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9</vt:i4>
      </vt:variant>
    </vt:vector>
  </HeadingPairs>
  <TitlesOfParts>
    <vt:vector size="16" baseType="lpstr">
      <vt:lpstr>출제유형_01</vt:lpstr>
      <vt:lpstr>시나리오 요약</vt:lpstr>
      <vt:lpstr>02</vt:lpstr>
      <vt:lpstr>시나리오 요약 2</vt:lpstr>
      <vt:lpstr>대표기출문제_기출1</vt:lpstr>
      <vt:lpstr>기출2</vt:lpstr>
      <vt:lpstr>시나리오 요약 3</vt:lpstr>
      <vt:lpstr>강호정부장</vt:lpstr>
      <vt:lpstr>'02'!버스요금</vt:lpstr>
      <vt:lpstr>버스요금</vt:lpstr>
      <vt:lpstr>상여급비율</vt:lpstr>
      <vt:lpstr>세금비율</vt:lpstr>
      <vt:lpstr>영업이익</vt:lpstr>
      <vt:lpstr>조광희부장</vt:lpstr>
      <vt:lpstr>판매가</vt:lpstr>
      <vt:lpstr>판매총액합계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2025-12-04T05:34:35Z</dcterms:modified>
</cp:coreProperties>
</file>