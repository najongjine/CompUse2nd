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1B342BD1-E62E-45A8-A9C3-514FBA188C65}" xr6:coauthVersionLast="47" xr6:coauthVersionMax="47" xr10:uidLastSave="{00000000-0000-0000-0000-000000000000}"/>
  <bookViews>
    <workbookView xWindow="380" yWindow="380" windowWidth="22910" windowHeight="18580" tabRatio="926" xr2:uid="{1EA7D4BC-0E71-467A-81F4-8371BAA0CFDB}"/>
  </bookViews>
  <sheets>
    <sheet name="출제유형_01_유형1~3" sheetId="6" r:id="rId1"/>
    <sheet name="02_유형1~4" sheetId="8" r:id="rId2"/>
    <sheet name="03_유형1~2" sheetId="9" r:id="rId3"/>
    <sheet name="04_유형1" sheetId="10" r:id="rId4"/>
    <sheet name="대표기출문제_기출1~5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8" l="1"/>
  <c r="F13" i="8"/>
  <c r="F14" i="8"/>
  <c r="F15" i="8"/>
  <c r="F11" i="8"/>
  <c r="D24" i="1"/>
  <c r="D25" i="1"/>
  <c r="D26" i="1"/>
  <c r="D27" i="1"/>
  <c r="D28" i="1"/>
  <c r="D29" i="1"/>
  <c r="D23" i="1"/>
  <c r="I18" i="1"/>
  <c r="I19" i="1"/>
  <c r="I20" i="1"/>
  <c r="I21" i="1"/>
  <c r="I22" i="1"/>
  <c r="I23" i="1"/>
  <c r="I17" i="1"/>
  <c r="D14" i="1"/>
  <c r="D15" i="1"/>
  <c r="D16" i="1"/>
  <c r="D17" i="1"/>
  <c r="D18" i="1"/>
  <c r="D19" i="1"/>
  <c r="D13" i="1"/>
  <c r="I4" i="1"/>
  <c r="I5" i="1"/>
  <c r="I6" i="1"/>
  <c r="I7" i="1"/>
  <c r="I8" i="1"/>
  <c r="I9" i="1"/>
  <c r="I3" i="1"/>
  <c r="D4" i="1"/>
  <c r="D5" i="1"/>
  <c r="D6" i="1"/>
  <c r="D7" i="1"/>
  <c r="D8" i="1"/>
  <c r="D9" i="1"/>
  <c r="D3" i="1"/>
  <c r="C4" i="10"/>
  <c r="C5" i="10"/>
  <c r="C6" i="10"/>
  <c r="C7" i="10"/>
  <c r="C3" i="10"/>
  <c r="D4" i="9"/>
  <c r="E4" i="9"/>
  <c r="D5" i="9"/>
  <c r="E5" i="9"/>
  <c r="D6" i="9"/>
  <c r="E6" i="9"/>
  <c r="D7" i="9"/>
  <c r="E7" i="9"/>
  <c r="E3" i="9"/>
  <c r="D3" i="9"/>
  <c r="E12" i="8"/>
  <c r="E13" i="8"/>
  <c r="E14" i="8"/>
  <c r="E15" i="8"/>
  <c r="E11" i="8"/>
  <c r="E4" i="8"/>
  <c r="F4" i="8"/>
  <c r="E5" i="8"/>
  <c r="F5" i="8"/>
  <c r="E6" i="8"/>
  <c r="F6" i="8"/>
  <c r="E7" i="8"/>
  <c r="F7" i="8"/>
  <c r="F3" i="8"/>
  <c r="E3" i="8"/>
  <c r="D4" i="6"/>
  <c r="E4" i="6"/>
  <c r="F4" i="6"/>
  <c r="D5" i="6"/>
  <c r="E5" i="6"/>
  <c r="F5" i="6"/>
  <c r="D6" i="6"/>
  <c r="E6" i="6"/>
  <c r="F6" i="6"/>
  <c r="D7" i="6"/>
  <c r="E7" i="6"/>
  <c r="F7" i="6"/>
  <c r="F3" i="6"/>
  <c r="E3" i="6"/>
  <c r="D3" i="6"/>
</calcChain>
</file>

<file path=xl/sharedStrings.xml><?xml version="1.0" encoding="utf-8"?>
<sst xmlns="http://schemas.openxmlformats.org/spreadsheetml/2006/main" count="226" uniqueCount="189">
  <si>
    <t>[표1]</t>
  </si>
  <si>
    <t>부서코드</t>
  </si>
  <si>
    <t>직위코드</t>
  </si>
  <si>
    <t>구분코드</t>
  </si>
  <si>
    <t>부서명</t>
  </si>
  <si>
    <t>직위</t>
  </si>
  <si>
    <t>지점</t>
  </si>
  <si>
    <t>04-B-2</t>
  </si>
  <si>
    <t>영업-2</t>
  </si>
  <si>
    <t>104-IC</t>
  </si>
  <si>
    <t>인천지사</t>
  </si>
  <si>
    <t>85-P-1</t>
  </si>
  <si>
    <t>생산-1</t>
  </si>
  <si>
    <t>235-CJ</t>
  </si>
  <si>
    <t>청주지사</t>
  </si>
  <si>
    <t>39-B-2</t>
  </si>
  <si>
    <t>영업-3</t>
  </si>
  <si>
    <t>716-IC</t>
  </si>
  <si>
    <t>358-SE</t>
  </si>
  <si>
    <t>본사</t>
  </si>
  <si>
    <t>961-SE</t>
  </si>
  <si>
    <t>&lt;구분분류표&gt;</t>
  </si>
  <si>
    <t>코드</t>
  </si>
  <si>
    <t>구분</t>
  </si>
  <si>
    <t>SE</t>
  </si>
  <si>
    <t>IC</t>
  </si>
  <si>
    <t>CJ</t>
  </si>
  <si>
    <t>지역</t>
  </si>
  <si>
    <t>등급</t>
  </si>
  <si>
    <t>성별</t>
  </si>
  <si>
    <t>여</t>
  </si>
  <si>
    <t>남</t>
  </si>
  <si>
    <t>ID</t>
  </si>
  <si>
    <t>동</t>
  </si>
  <si>
    <t>고객코드</t>
  </si>
  <si>
    <t>주소코드</t>
  </si>
  <si>
    <t>hitman</t>
  </si>
  <si>
    <t>gold</t>
  </si>
  <si>
    <t>mapo</t>
  </si>
  <si>
    <t>DOHWA</t>
  </si>
  <si>
    <t>moon</t>
  </si>
  <si>
    <t>silver</t>
  </si>
  <si>
    <t>seocho</t>
  </si>
  <si>
    <t>BANPO</t>
  </si>
  <si>
    <t>dark</t>
  </si>
  <si>
    <t>dobong</t>
  </si>
  <si>
    <t>CHANG</t>
  </si>
  <si>
    <t>david</t>
  </si>
  <si>
    <t>nowon</t>
  </si>
  <si>
    <t>HAGYE</t>
  </si>
  <si>
    <t>bullet</t>
  </si>
  <si>
    <t>guro</t>
  </si>
  <si>
    <t>ORYU</t>
  </si>
  <si>
    <t>[표2]</t>
  </si>
  <si>
    <t>입사일자</t>
  </si>
  <si>
    <t>임시코드</t>
  </si>
  <si>
    <t>사원코드</t>
  </si>
  <si>
    <t>sd</t>
  </si>
  <si>
    <t>dgm</t>
  </si>
  <si>
    <t>ed</t>
  </si>
  <si>
    <t>sta</t>
  </si>
  <si>
    <t>pd</t>
  </si>
  <si>
    <t>sup</t>
  </si>
  <si>
    <t>ad</t>
  </si>
  <si>
    <t>gm</t>
  </si>
  <si>
    <t>fd</t>
  </si>
  <si>
    <t>am</t>
  </si>
  <si>
    <t>제품</t>
  </si>
  <si>
    <t>종류</t>
  </si>
  <si>
    <t>입양일자</t>
  </si>
  <si>
    <t>접종여부</t>
  </si>
  <si>
    <t>분류코드1</t>
  </si>
  <si>
    <t>분류코드2</t>
  </si>
  <si>
    <t>rabbit</t>
  </si>
  <si>
    <t>완료</t>
  </si>
  <si>
    <t>cat</t>
  </si>
  <si>
    <t>2차</t>
  </si>
  <si>
    <t>dog</t>
  </si>
  <si>
    <t>parrot</t>
  </si>
  <si>
    <t>hamster</t>
  </si>
  <si>
    <t>사원명</t>
  </si>
  <si>
    <t>메일주소</t>
  </si>
  <si>
    <t>오진석</t>
  </si>
  <si>
    <t>jsoh79@naver.com</t>
  </si>
  <si>
    <t>김영란</t>
  </si>
  <si>
    <t>young1004@gmail.com</t>
  </si>
  <si>
    <t>박주영</t>
  </si>
  <si>
    <t>parkjy44@nate.com</t>
  </si>
  <si>
    <t>신주하</t>
  </si>
  <si>
    <t>shin82@hanmail.net</t>
  </si>
  <si>
    <t>이미현</t>
  </si>
  <si>
    <t>lmh486@nate.com</t>
  </si>
  <si>
    <t>가입일자</t>
  </si>
  <si>
    <t>닉네임</t>
  </si>
  <si>
    <t>회원코드</t>
  </si>
  <si>
    <t>수영강습현황</t>
  </si>
  <si>
    <t>문화센터수강신청</t>
  </si>
  <si>
    <t>성명</t>
  </si>
  <si>
    <t>프로그램</t>
  </si>
  <si>
    <t>수강자명</t>
  </si>
  <si>
    <t>수강코드</t>
  </si>
  <si>
    <t>강사명</t>
  </si>
  <si>
    <t>강좌명</t>
  </si>
  <si>
    <t>SW-34-2</t>
  </si>
  <si>
    <t>안연희</t>
  </si>
  <si>
    <t>전상일</t>
  </si>
  <si>
    <t>C-49DE</t>
  </si>
  <si>
    <t>이영아</t>
  </si>
  <si>
    <t>댄스</t>
  </si>
  <si>
    <t>SW-90-1</t>
  </si>
  <si>
    <t>김정민</t>
  </si>
  <si>
    <t>김선길</t>
  </si>
  <si>
    <t>A-67RB</t>
  </si>
  <si>
    <t>김세화</t>
  </si>
  <si>
    <t>독서</t>
  </si>
  <si>
    <t>SW-02-3</t>
  </si>
  <si>
    <t>조승연</t>
  </si>
  <si>
    <t>고인숙</t>
  </si>
  <si>
    <t>A-16FD</t>
  </si>
  <si>
    <t>정경미</t>
  </si>
  <si>
    <t>요리</t>
  </si>
  <si>
    <t>김종숙</t>
  </si>
  <si>
    <t>강재석</t>
  </si>
  <si>
    <t>C-43FD</t>
  </si>
  <si>
    <t>SW-77-1</t>
  </si>
  <si>
    <t>백정준</t>
  </si>
  <si>
    <t>이시연</t>
  </si>
  <si>
    <t>A-20DE</t>
  </si>
  <si>
    <t>이장우</t>
  </si>
  <si>
    <t>하시윤</t>
  </si>
  <si>
    <t>S-94FD</t>
  </si>
  <si>
    <t>SW-55-3</t>
  </si>
  <si>
    <t>강대규</t>
  </si>
  <si>
    <t>윤채아</t>
  </si>
  <si>
    <t>S-58RB</t>
  </si>
  <si>
    <t>[표3]</t>
  </si>
  <si>
    <t>제품생산현황</t>
  </si>
  <si>
    <t>&lt;강좌코드표&gt;</t>
  </si>
  <si>
    <t>생산일자</t>
  </si>
  <si>
    <t>제품코드</t>
  </si>
  <si>
    <t>FD</t>
  </si>
  <si>
    <t>DE</t>
  </si>
  <si>
    <t>RB</t>
  </si>
  <si>
    <t>c</t>
  </si>
  <si>
    <t>com</t>
  </si>
  <si>
    <t>강좌</t>
  </si>
  <si>
    <t>j</t>
  </si>
  <si>
    <t>mou</t>
  </si>
  <si>
    <t>b</t>
  </si>
  <si>
    <t>pri</t>
  </si>
  <si>
    <t>[표4]</t>
  </si>
  <si>
    <t>회원관리현황</t>
  </si>
  <si>
    <t>a</t>
  </si>
  <si>
    <t>회원명</t>
  </si>
  <si>
    <t>아이디</t>
  </si>
  <si>
    <t>u</t>
  </si>
  <si>
    <t>김연희</t>
  </si>
  <si>
    <t>earth99</t>
  </si>
  <si>
    <t>e</t>
  </si>
  <si>
    <t>강백호</t>
  </si>
  <si>
    <t>whiteho</t>
  </si>
  <si>
    <t>이소혜</t>
  </si>
  <si>
    <t>masion0</t>
  </si>
  <si>
    <t>이경석</t>
  </si>
  <si>
    <t>black111</t>
  </si>
  <si>
    <t>[표5]</t>
  </si>
  <si>
    <t>온라인게임랭킹</t>
  </si>
  <si>
    <t>박미란</t>
  </si>
  <si>
    <t>mine17</t>
  </si>
  <si>
    <t>순위</t>
  </si>
  <si>
    <t>점수</t>
  </si>
  <si>
    <t>서현진</t>
  </si>
  <si>
    <t>eunoia</t>
  </si>
  <si>
    <t>stand#198</t>
  </si>
  <si>
    <t>김강성</t>
  </si>
  <si>
    <t>glint123</t>
  </si>
  <si>
    <t>castle#622</t>
  </si>
  <si>
    <t>miche#874</t>
  </si>
  <si>
    <t>cathe#478</t>
  </si>
  <si>
    <t>doro#940</t>
  </si>
  <si>
    <t>violet#384</t>
  </si>
  <si>
    <t>angel#173</t>
  </si>
  <si>
    <t>[표1]</t>
    <phoneticPr fontId="1" type="noConversion"/>
  </si>
  <si>
    <t>사원코드2</t>
    <phoneticPr fontId="1" type="noConversion"/>
  </si>
  <si>
    <t>jgd16</t>
    <phoneticPr fontId="1" type="noConversion"/>
  </si>
  <si>
    <t>hsn68</t>
    <phoneticPr fontId="1" type="noConversion"/>
  </si>
  <si>
    <t>kes23</t>
    <phoneticPr fontId="1" type="noConversion"/>
  </si>
  <si>
    <t>sys95</t>
    <phoneticPr fontId="1" type="noConversion"/>
  </si>
  <si>
    <t>lsa74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</si>
</sst>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2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3"/>
  <sheetViews>
    <sheetView tabSelected="1" workbookViewId="0"/>
  </sheetViews>
  <sheetFormatPr defaultRowHeight="17" x14ac:dyDescent="0.45"/>
  <cols>
    <col min="4" max="5" width="8.6640625" customWidth="1"/>
  </cols>
  <sheetData>
    <row r="1" spans="1:6" x14ac:dyDescent="0.45">
      <c r="A1" s="1" t="s">
        <v>0</v>
      </c>
    </row>
    <row r="2" spans="1:6" x14ac:dyDescent="0.45">
      <c r="A2" s="2" t="s">
        <v>1</v>
      </c>
      <c r="B2" s="2" t="s">
        <v>2</v>
      </c>
      <c r="C2" s="2" t="s">
        <v>3</v>
      </c>
      <c r="D2" s="3" t="s">
        <v>4</v>
      </c>
      <c r="E2" s="3" t="s">
        <v>5</v>
      </c>
      <c r="F2" s="3" t="s">
        <v>6</v>
      </c>
    </row>
    <row r="3" spans="1:6" x14ac:dyDescent="0.45">
      <c r="A3" s="2" t="s">
        <v>7</v>
      </c>
      <c r="B3" s="2" t="s">
        <v>8</v>
      </c>
      <c r="C3" s="2" t="s">
        <v>9</v>
      </c>
      <c r="D3" s="2" t="str">
        <f>IF(RIGHT(A3,1)="1","생산부","영업부")</f>
        <v>영업부</v>
      </c>
      <c r="E3" s="2" t="str">
        <f>CHOOSE(RIGHT(B3,1),"과장","대리","사원")</f>
        <v>대리</v>
      </c>
      <c r="F3" s="2" t="str">
        <f>VLOOKUP(RIGHT(C3,2),$A$11:$B$13,2,FALSE)</f>
        <v>인천지사</v>
      </c>
    </row>
    <row r="4" spans="1:6" x14ac:dyDescent="0.45">
      <c r="A4" s="2" t="s">
        <v>11</v>
      </c>
      <c r="B4" s="2" t="s">
        <v>12</v>
      </c>
      <c r="C4" s="2" t="s">
        <v>13</v>
      </c>
      <c r="D4" s="2" t="str">
        <f t="shared" ref="D4:D7" si="0">IF(RIGHT(A4,1)="1","생산부","영업부")</f>
        <v>생산부</v>
      </c>
      <c r="E4" s="2" t="str">
        <f t="shared" ref="E4:E7" si="1">CHOOSE(RIGHT(B4,1),"과장","대리","사원")</f>
        <v>과장</v>
      </c>
      <c r="F4" s="2" t="str">
        <f t="shared" ref="F4:F7" si="2">VLOOKUP(RIGHT(C4,2),$A$11:$B$13,2,FALSE)</f>
        <v>청주지사</v>
      </c>
    </row>
    <row r="5" spans="1:6" x14ac:dyDescent="0.45">
      <c r="A5" s="2" t="s">
        <v>15</v>
      </c>
      <c r="B5" s="2" t="s">
        <v>16</v>
      </c>
      <c r="C5" s="2" t="s">
        <v>17</v>
      </c>
      <c r="D5" s="2" t="str">
        <f t="shared" si="0"/>
        <v>영업부</v>
      </c>
      <c r="E5" s="2" t="str">
        <f t="shared" si="1"/>
        <v>사원</v>
      </c>
      <c r="F5" s="2" t="str">
        <f t="shared" si="2"/>
        <v>인천지사</v>
      </c>
    </row>
    <row r="6" spans="1:6" x14ac:dyDescent="0.45">
      <c r="A6" s="2" t="s">
        <v>7</v>
      </c>
      <c r="B6" s="2" t="s">
        <v>8</v>
      </c>
      <c r="C6" s="2" t="s">
        <v>18</v>
      </c>
      <c r="D6" s="2" t="str">
        <f t="shared" si="0"/>
        <v>영업부</v>
      </c>
      <c r="E6" s="2" t="str">
        <f t="shared" si="1"/>
        <v>대리</v>
      </c>
      <c r="F6" s="2" t="str">
        <f t="shared" si="2"/>
        <v>본사</v>
      </c>
    </row>
    <row r="7" spans="1:6" x14ac:dyDescent="0.45">
      <c r="A7" s="2" t="s">
        <v>11</v>
      </c>
      <c r="B7" s="2" t="s">
        <v>12</v>
      </c>
      <c r="C7" s="2" t="s">
        <v>20</v>
      </c>
      <c r="D7" s="2" t="str">
        <f t="shared" si="0"/>
        <v>생산부</v>
      </c>
      <c r="E7" s="2" t="str">
        <f t="shared" si="1"/>
        <v>과장</v>
      </c>
      <c r="F7" s="2" t="str">
        <f t="shared" si="2"/>
        <v>본사</v>
      </c>
    </row>
    <row r="9" spans="1:6" x14ac:dyDescent="0.45">
      <c r="A9" s="7" t="s">
        <v>21</v>
      </c>
      <c r="B9" s="7"/>
    </row>
    <row r="10" spans="1:6" x14ac:dyDescent="0.45">
      <c r="A10" s="2" t="s">
        <v>22</v>
      </c>
      <c r="B10" s="2" t="s">
        <v>23</v>
      </c>
    </row>
    <row r="11" spans="1:6" x14ac:dyDescent="0.45">
      <c r="A11" s="2" t="s">
        <v>24</v>
      </c>
      <c r="B11" s="2" t="s">
        <v>19</v>
      </c>
    </row>
    <row r="12" spans="1:6" x14ac:dyDescent="0.45">
      <c r="A12" s="2" t="s">
        <v>25</v>
      </c>
      <c r="B12" s="2" t="s">
        <v>10</v>
      </c>
    </row>
    <row r="13" spans="1:6" x14ac:dyDescent="0.45">
      <c r="A13" s="2" t="s">
        <v>26</v>
      </c>
      <c r="B13" s="2" t="s">
        <v>14</v>
      </c>
    </row>
  </sheetData>
  <mergeCells count="1">
    <mergeCell ref="A9:B9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5"/>
  <sheetViews>
    <sheetView workbookViewId="0"/>
  </sheetViews>
  <sheetFormatPr defaultRowHeight="17" x14ac:dyDescent="0.45"/>
  <cols>
    <col min="1" max="1" width="10.75" customWidth="1"/>
    <col min="5" max="5" width="14.58203125" bestFit="1" customWidth="1"/>
    <col min="6" max="6" width="16.83203125" bestFit="1" customWidth="1"/>
    <col min="12" max="12" width="8.6640625" customWidth="1"/>
  </cols>
  <sheetData>
    <row r="1" spans="1:6" x14ac:dyDescent="0.45">
      <c r="A1" s="1" t="s">
        <v>0</v>
      </c>
    </row>
    <row r="2" spans="1:6" x14ac:dyDescent="0.45">
      <c r="A2" s="2" t="s">
        <v>32</v>
      </c>
      <c r="B2" s="2" t="s">
        <v>28</v>
      </c>
      <c r="C2" s="2" t="s">
        <v>27</v>
      </c>
      <c r="D2" s="2" t="s">
        <v>33</v>
      </c>
      <c r="E2" s="3" t="s">
        <v>34</v>
      </c>
      <c r="F2" s="3" t="s">
        <v>35</v>
      </c>
    </row>
    <row r="3" spans="1:6" x14ac:dyDescent="0.45">
      <c r="A3" s="2" t="s">
        <v>36</v>
      </c>
      <c r="B3" s="2" t="s">
        <v>37</v>
      </c>
      <c r="C3" s="2" t="s">
        <v>38</v>
      </c>
      <c r="D3" s="2" t="s">
        <v>39</v>
      </c>
      <c r="E3" s="2" t="str">
        <f>UPPER(A3)&amp;"("&amp;PROPER(B3)&amp;")"</f>
        <v>HITMAN(Gold)</v>
      </c>
      <c r="F3" s="2" t="str">
        <f>UPPER(C3)&amp;"("&amp;LOWER(D3)&amp;")"</f>
        <v>MAPO(dohwa)</v>
      </c>
    </row>
    <row r="4" spans="1:6" x14ac:dyDescent="0.45">
      <c r="A4" s="2" t="s">
        <v>40</v>
      </c>
      <c r="B4" s="2" t="s">
        <v>41</v>
      </c>
      <c r="C4" s="2" t="s">
        <v>42</v>
      </c>
      <c r="D4" s="2" t="s">
        <v>43</v>
      </c>
      <c r="E4" s="2" t="str">
        <f t="shared" ref="E4:E7" si="0">UPPER(A4)&amp;"("&amp;PROPER(B4)&amp;")"</f>
        <v>MOON(Silver)</v>
      </c>
      <c r="F4" s="2" t="str">
        <f t="shared" ref="F4:F7" si="1">UPPER(C4)&amp;"("&amp;LOWER(D4)&amp;")"</f>
        <v>SEOCHO(banpo)</v>
      </c>
    </row>
    <row r="5" spans="1:6" x14ac:dyDescent="0.45">
      <c r="A5" s="2" t="s">
        <v>44</v>
      </c>
      <c r="B5" s="2" t="s">
        <v>41</v>
      </c>
      <c r="C5" s="2" t="s">
        <v>45</v>
      </c>
      <c r="D5" s="2" t="s">
        <v>46</v>
      </c>
      <c r="E5" s="2" t="str">
        <f t="shared" si="0"/>
        <v>DARK(Silver)</v>
      </c>
      <c r="F5" s="2" t="str">
        <f t="shared" si="1"/>
        <v>DOBONG(chang)</v>
      </c>
    </row>
    <row r="6" spans="1:6" x14ac:dyDescent="0.45">
      <c r="A6" s="2" t="s">
        <v>47</v>
      </c>
      <c r="B6" s="2" t="s">
        <v>37</v>
      </c>
      <c r="C6" s="2" t="s">
        <v>48</v>
      </c>
      <c r="D6" s="2" t="s">
        <v>49</v>
      </c>
      <c r="E6" s="2" t="str">
        <f t="shared" si="0"/>
        <v>DAVID(Gold)</v>
      </c>
      <c r="F6" s="2" t="str">
        <f t="shared" si="1"/>
        <v>NOWON(hagye)</v>
      </c>
    </row>
    <row r="7" spans="1:6" x14ac:dyDescent="0.45">
      <c r="A7" s="2" t="s">
        <v>50</v>
      </c>
      <c r="B7" s="2" t="s">
        <v>41</v>
      </c>
      <c r="C7" s="2" t="s">
        <v>51</v>
      </c>
      <c r="D7" s="2" t="s">
        <v>52</v>
      </c>
      <c r="E7" s="2" t="str">
        <f t="shared" si="0"/>
        <v>BULLET(Silver)</v>
      </c>
      <c r="F7" s="2" t="str">
        <f t="shared" si="1"/>
        <v>GURO(oryu)</v>
      </c>
    </row>
    <row r="9" spans="1:6" x14ac:dyDescent="0.45">
      <c r="A9" s="4" t="s">
        <v>53</v>
      </c>
    </row>
    <row r="10" spans="1:6" x14ac:dyDescent="0.45">
      <c r="A10" s="2" t="s">
        <v>54</v>
      </c>
      <c r="B10" s="2" t="s">
        <v>1</v>
      </c>
      <c r="C10" s="2" t="s">
        <v>2</v>
      </c>
      <c r="D10" s="2" t="s">
        <v>55</v>
      </c>
      <c r="E10" s="3" t="s">
        <v>56</v>
      </c>
      <c r="F10" s="3" t="s">
        <v>183</v>
      </c>
    </row>
    <row r="11" spans="1:6" x14ac:dyDescent="0.45">
      <c r="A11" s="5">
        <v>41418</v>
      </c>
      <c r="B11" s="2" t="s">
        <v>57</v>
      </c>
      <c r="C11" s="2" t="s">
        <v>58</v>
      </c>
      <c r="D11" s="2" t="s">
        <v>186</v>
      </c>
      <c r="E11" s="2" t="str">
        <f>UPPER(B11)&amp;"-"&amp;MONTH(A11)&amp;"-"&amp;UPPER(C11)</f>
        <v>SD-5-DGM</v>
      </c>
      <c r="F11" s="2" t="str">
        <f>UPPER(LEFT(D11,3)&amp;"-"&amp;RIGHT(D11,2)&amp;"-"&amp;LEFT(B11,1))</f>
        <v>KES-23-S</v>
      </c>
    </row>
    <row r="12" spans="1:6" x14ac:dyDescent="0.45">
      <c r="A12" s="5">
        <v>44000</v>
      </c>
      <c r="B12" s="2" t="s">
        <v>59</v>
      </c>
      <c r="C12" s="2" t="s">
        <v>60</v>
      </c>
      <c r="D12" s="2" t="s">
        <v>187</v>
      </c>
      <c r="E12" s="2" t="str">
        <f t="shared" ref="E12:E15" si="2">UPPER(B12)&amp;"-"&amp;MONTH(A12)&amp;"-"&amp;UPPER(C12)</f>
        <v>ED-6-STA</v>
      </c>
      <c r="F12" s="2" t="str">
        <f t="shared" ref="F12:F15" si="3">UPPER(LEFT(D12,3)&amp;"-"&amp;RIGHT(D12,2)&amp;"-"&amp;LEFT(B12,1))</f>
        <v>SYS-95-E</v>
      </c>
    </row>
    <row r="13" spans="1:6" x14ac:dyDescent="0.45">
      <c r="A13" s="5">
        <v>42675</v>
      </c>
      <c r="B13" s="2" t="s">
        <v>61</v>
      </c>
      <c r="C13" s="2" t="s">
        <v>62</v>
      </c>
      <c r="D13" s="2" t="s">
        <v>188</v>
      </c>
      <c r="E13" s="2" t="str">
        <f t="shared" si="2"/>
        <v>PD-11-SUP</v>
      </c>
      <c r="F13" s="2" t="str">
        <f t="shared" si="3"/>
        <v>LSA-74-P</v>
      </c>
    </row>
    <row r="14" spans="1:6" x14ac:dyDescent="0.45">
      <c r="A14" s="5">
        <v>41144</v>
      </c>
      <c r="B14" s="2" t="s">
        <v>63</v>
      </c>
      <c r="C14" s="2" t="s">
        <v>64</v>
      </c>
      <c r="D14" s="2" t="s">
        <v>184</v>
      </c>
      <c r="E14" s="2" t="str">
        <f t="shared" si="2"/>
        <v>AD-8-GM</v>
      </c>
      <c r="F14" s="2" t="str">
        <f t="shared" si="3"/>
        <v>JGD-16-A</v>
      </c>
    </row>
    <row r="15" spans="1:6" x14ac:dyDescent="0.45">
      <c r="A15" s="5">
        <v>43550</v>
      </c>
      <c r="B15" s="2" t="s">
        <v>65</v>
      </c>
      <c r="C15" s="2" t="s">
        <v>66</v>
      </c>
      <c r="D15" s="2" t="s">
        <v>185</v>
      </c>
      <c r="E15" s="2" t="str">
        <f t="shared" si="2"/>
        <v>FD-3-AM</v>
      </c>
      <c r="F15" s="2" t="str">
        <f t="shared" si="3"/>
        <v>HSN-68-F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7"/>
  <sheetViews>
    <sheetView workbookViewId="0"/>
  </sheetViews>
  <sheetFormatPr defaultRowHeight="17" x14ac:dyDescent="0.45"/>
  <cols>
    <col min="2" max="2" width="11.08203125" bestFit="1" customWidth="1"/>
    <col min="4" max="4" width="10" bestFit="1" customWidth="1"/>
    <col min="5" max="5" width="11.33203125" bestFit="1" customWidth="1"/>
  </cols>
  <sheetData>
    <row r="1" spans="1:5" x14ac:dyDescent="0.45">
      <c r="A1" s="1" t="s">
        <v>182</v>
      </c>
    </row>
    <row r="2" spans="1:5" x14ac:dyDescent="0.45">
      <c r="A2" s="2" t="s">
        <v>68</v>
      </c>
      <c r="B2" s="2" t="s">
        <v>69</v>
      </c>
      <c r="C2" s="2" t="s">
        <v>70</v>
      </c>
      <c r="D2" s="3" t="s">
        <v>71</v>
      </c>
      <c r="E2" s="3" t="s">
        <v>72</v>
      </c>
    </row>
    <row r="3" spans="1:5" x14ac:dyDescent="0.45">
      <c r="A3" s="2" t="s">
        <v>73</v>
      </c>
      <c r="B3" s="5">
        <v>43564</v>
      </c>
      <c r="C3" s="2" t="s">
        <v>74</v>
      </c>
      <c r="D3" s="2" t="str">
        <f>PROPER(LEFT(A3,3))&amp;YEAR(B3)</f>
        <v>Rab2019</v>
      </c>
      <c r="E3" s="2" t="str">
        <f>PROPER(A3)&amp;"-"&amp;DAY(B3)</f>
        <v>Rabbit-9</v>
      </c>
    </row>
    <row r="4" spans="1:5" x14ac:dyDescent="0.45">
      <c r="A4" s="2" t="s">
        <v>75</v>
      </c>
      <c r="B4" s="5">
        <v>44209</v>
      </c>
      <c r="C4" s="2" t="s">
        <v>76</v>
      </c>
      <c r="D4" s="2" t="str">
        <f t="shared" ref="D4:D7" si="0">PROPER(LEFT(A4,3))&amp;YEAR(B4)</f>
        <v>Cat2021</v>
      </c>
      <c r="E4" s="2" t="str">
        <f t="shared" ref="E4:E7" si="1">PROPER(A4)&amp;"-"&amp;DAY(B4)</f>
        <v>Cat-13</v>
      </c>
    </row>
    <row r="5" spans="1:5" x14ac:dyDescent="0.45">
      <c r="A5" s="2" t="s">
        <v>77</v>
      </c>
      <c r="B5" s="5">
        <v>44126</v>
      </c>
      <c r="C5" s="2" t="s">
        <v>74</v>
      </c>
      <c r="D5" s="2" t="str">
        <f t="shared" si="0"/>
        <v>Dog2020</v>
      </c>
      <c r="E5" s="2" t="str">
        <f t="shared" si="1"/>
        <v>Dog-22</v>
      </c>
    </row>
    <row r="6" spans="1:5" x14ac:dyDescent="0.45">
      <c r="A6" s="2" t="s">
        <v>78</v>
      </c>
      <c r="B6" s="5">
        <v>43148</v>
      </c>
      <c r="C6" s="2" t="s">
        <v>74</v>
      </c>
      <c r="D6" s="2" t="str">
        <f t="shared" si="0"/>
        <v>Par2018</v>
      </c>
      <c r="E6" s="2" t="str">
        <f t="shared" si="1"/>
        <v>Parrot-17</v>
      </c>
    </row>
    <row r="7" spans="1:5" x14ac:dyDescent="0.45">
      <c r="A7" s="2" t="s">
        <v>79</v>
      </c>
      <c r="B7" s="5">
        <v>44040</v>
      </c>
      <c r="C7" s="2" t="s">
        <v>74</v>
      </c>
      <c r="D7" s="2" t="str">
        <f t="shared" si="0"/>
        <v>Ham2020</v>
      </c>
      <c r="E7" s="2" t="str">
        <f t="shared" si="1"/>
        <v>Hamster-28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C7"/>
  <sheetViews>
    <sheetView workbookViewId="0"/>
  </sheetViews>
  <sheetFormatPr defaultRowHeight="17" x14ac:dyDescent="0.45"/>
  <cols>
    <col min="2" max="2" width="21.33203125" bestFit="1" customWidth="1"/>
    <col min="3" max="3" width="11" bestFit="1" customWidth="1"/>
  </cols>
  <sheetData>
    <row r="1" spans="1:3" x14ac:dyDescent="0.45">
      <c r="A1" s="1" t="s">
        <v>0</v>
      </c>
    </row>
    <row r="2" spans="1:3" x14ac:dyDescent="0.45">
      <c r="A2" s="2" t="s">
        <v>80</v>
      </c>
      <c r="B2" s="2" t="s">
        <v>81</v>
      </c>
      <c r="C2" s="3" t="s">
        <v>56</v>
      </c>
    </row>
    <row r="3" spans="1:3" x14ac:dyDescent="0.45">
      <c r="A3" s="2" t="s">
        <v>82</v>
      </c>
      <c r="B3" s="2" t="s">
        <v>83</v>
      </c>
      <c r="C3" s="2" t="str">
        <f>MID(B3,1,SEARCH("@",B3,1)-1)</f>
        <v>jsoh79</v>
      </c>
    </row>
    <row r="4" spans="1:3" x14ac:dyDescent="0.45">
      <c r="A4" s="2" t="s">
        <v>84</v>
      </c>
      <c r="B4" s="2" t="s">
        <v>85</v>
      </c>
      <c r="C4" s="2" t="str">
        <f t="shared" ref="C4:C7" si="0">MID(B4,1,SEARCH("@",B4,1)-1)</f>
        <v>young1004</v>
      </c>
    </row>
    <row r="5" spans="1:3" x14ac:dyDescent="0.45">
      <c r="A5" s="2" t="s">
        <v>86</v>
      </c>
      <c r="B5" s="2" t="s">
        <v>87</v>
      </c>
      <c r="C5" s="2" t="str">
        <f t="shared" si="0"/>
        <v>parkjy44</v>
      </c>
    </row>
    <row r="6" spans="1:3" x14ac:dyDescent="0.45">
      <c r="A6" s="2" t="s">
        <v>88</v>
      </c>
      <c r="B6" s="2" t="s">
        <v>89</v>
      </c>
      <c r="C6" s="2" t="str">
        <f t="shared" si="0"/>
        <v>shin82</v>
      </c>
    </row>
    <row r="7" spans="1:3" x14ac:dyDescent="0.45">
      <c r="A7" s="2" t="s">
        <v>90</v>
      </c>
      <c r="B7" s="2" t="s">
        <v>91</v>
      </c>
      <c r="C7" s="2" t="str">
        <f t="shared" si="0"/>
        <v>lmh486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29"/>
  <sheetViews>
    <sheetView workbookViewId="0"/>
  </sheetViews>
  <sheetFormatPr defaultRowHeight="17" x14ac:dyDescent="0.45"/>
  <cols>
    <col min="3" max="3" width="10.75" bestFit="1" customWidth="1"/>
    <col min="4" max="4" width="9.75" bestFit="1" customWidth="1"/>
    <col min="7" max="7" width="10.75" bestFit="1" customWidth="1"/>
  </cols>
  <sheetData>
    <row r="1" spans="1:9" x14ac:dyDescent="0.45">
      <c r="A1" s="1" t="s">
        <v>0</v>
      </c>
      <c r="B1" s="6" t="s">
        <v>95</v>
      </c>
      <c r="F1" s="4" t="s">
        <v>53</v>
      </c>
      <c r="G1" s="6" t="s">
        <v>96</v>
      </c>
    </row>
    <row r="2" spans="1:9" x14ac:dyDescent="0.45">
      <c r="A2" s="2" t="s">
        <v>94</v>
      </c>
      <c r="B2" s="2" t="s">
        <v>97</v>
      </c>
      <c r="C2" s="2" t="s">
        <v>29</v>
      </c>
      <c r="D2" s="3" t="s">
        <v>98</v>
      </c>
      <c r="F2" s="2" t="s">
        <v>99</v>
      </c>
      <c r="G2" s="2" t="s">
        <v>100</v>
      </c>
      <c r="H2" s="2" t="s">
        <v>101</v>
      </c>
      <c r="I2" s="3" t="s">
        <v>102</v>
      </c>
    </row>
    <row r="3" spans="1:9" x14ac:dyDescent="0.45">
      <c r="A3" s="2" t="s">
        <v>103</v>
      </c>
      <c r="B3" s="2" t="s">
        <v>104</v>
      </c>
      <c r="C3" s="2" t="s">
        <v>30</v>
      </c>
      <c r="D3" s="2" t="str">
        <f>IF(RIGHT(A3,1)="1","초급",IF(RIGHT(A3,1)="2","중급","상급"))</f>
        <v>중급</v>
      </c>
      <c r="F3" s="2" t="s">
        <v>105</v>
      </c>
      <c r="G3" s="2" t="s">
        <v>106</v>
      </c>
      <c r="H3" s="2" t="s">
        <v>107</v>
      </c>
      <c r="I3" s="2" t="str">
        <f>HLOOKUP(RIGHT(G3,2),$G$12:$I$13,2,FALSE)</f>
        <v>댄스</v>
      </c>
    </row>
    <row r="4" spans="1:9" x14ac:dyDescent="0.45">
      <c r="A4" s="2" t="s">
        <v>109</v>
      </c>
      <c r="B4" s="2" t="s">
        <v>110</v>
      </c>
      <c r="C4" s="2" t="s">
        <v>31</v>
      </c>
      <c r="D4" s="2" t="str">
        <f t="shared" ref="D4:D9" si="0">IF(RIGHT(A4,1)="1","초급",IF(RIGHT(A4,1)="2","중급","상급"))</f>
        <v>초급</v>
      </c>
      <c r="F4" s="2" t="s">
        <v>111</v>
      </c>
      <c r="G4" s="2" t="s">
        <v>112</v>
      </c>
      <c r="H4" s="2" t="s">
        <v>113</v>
      </c>
      <c r="I4" s="2" t="str">
        <f t="shared" ref="I4:I9" si="1">HLOOKUP(RIGHT(G4,2),$G$12:$I$13,2,FALSE)</f>
        <v>독서</v>
      </c>
    </row>
    <row r="5" spans="1:9" x14ac:dyDescent="0.45">
      <c r="A5" s="2" t="s">
        <v>115</v>
      </c>
      <c r="B5" s="2" t="s">
        <v>116</v>
      </c>
      <c r="C5" s="2" t="s">
        <v>30</v>
      </c>
      <c r="D5" s="2" t="str">
        <f t="shared" si="0"/>
        <v>상급</v>
      </c>
      <c r="F5" s="2" t="s">
        <v>117</v>
      </c>
      <c r="G5" s="2" t="s">
        <v>118</v>
      </c>
      <c r="H5" s="2" t="s">
        <v>119</v>
      </c>
      <c r="I5" s="2" t="str">
        <f t="shared" si="1"/>
        <v>요리</v>
      </c>
    </row>
    <row r="6" spans="1:9" x14ac:dyDescent="0.45">
      <c r="A6" s="2" t="s">
        <v>103</v>
      </c>
      <c r="B6" s="2" t="s">
        <v>121</v>
      </c>
      <c r="C6" s="2" t="s">
        <v>30</v>
      </c>
      <c r="D6" s="2" t="str">
        <f t="shared" si="0"/>
        <v>중급</v>
      </c>
      <c r="F6" s="2" t="s">
        <v>122</v>
      </c>
      <c r="G6" s="2" t="s">
        <v>123</v>
      </c>
      <c r="H6" s="2" t="s">
        <v>119</v>
      </c>
      <c r="I6" s="2" t="str">
        <f t="shared" si="1"/>
        <v>요리</v>
      </c>
    </row>
    <row r="7" spans="1:9" x14ac:dyDescent="0.45">
      <c r="A7" s="2" t="s">
        <v>124</v>
      </c>
      <c r="B7" s="2" t="s">
        <v>125</v>
      </c>
      <c r="C7" s="2" t="s">
        <v>31</v>
      </c>
      <c r="D7" s="2" t="str">
        <f t="shared" si="0"/>
        <v>초급</v>
      </c>
      <c r="F7" s="2" t="s">
        <v>126</v>
      </c>
      <c r="G7" s="2" t="s">
        <v>127</v>
      </c>
      <c r="H7" s="2" t="s">
        <v>107</v>
      </c>
      <c r="I7" s="2" t="str">
        <f t="shared" si="1"/>
        <v>댄스</v>
      </c>
    </row>
    <row r="8" spans="1:9" x14ac:dyDescent="0.45">
      <c r="A8" s="2" t="s">
        <v>103</v>
      </c>
      <c r="B8" s="2" t="s">
        <v>128</v>
      </c>
      <c r="C8" s="2" t="s">
        <v>31</v>
      </c>
      <c r="D8" s="2" t="str">
        <f t="shared" si="0"/>
        <v>중급</v>
      </c>
      <c r="F8" s="2" t="s">
        <v>129</v>
      </c>
      <c r="G8" s="2" t="s">
        <v>130</v>
      </c>
      <c r="H8" s="2" t="s">
        <v>119</v>
      </c>
      <c r="I8" s="2" t="str">
        <f t="shared" si="1"/>
        <v>요리</v>
      </c>
    </row>
    <row r="9" spans="1:9" x14ac:dyDescent="0.45">
      <c r="A9" s="2" t="s">
        <v>131</v>
      </c>
      <c r="B9" s="2" t="s">
        <v>132</v>
      </c>
      <c r="C9" s="2" t="s">
        <v>31</v>
      </c>
      <c r="D9" s="2" t="str">
        <f t="shared" si="0"/>
        <v>상급</v>
      </c>
      <c r="F9" s="2" t="s">
        <v>133</v>
      </c>
      <c r="G9" s="2" t="s">
        <v>134</v>
      </c>
      <c r="H9" s="2" t="s">
        <v>113</v>
      </c>
      <c r="I9" s="2" t="str">
        <f t="shared" si="1"/>
        <v>독서</v>
      </c>
    </row>
    <row r="11" spans="1:9" x14ac:dyDescent="0.45">
      <c r="A11" s="4" t="s">
        <v>135</v>
      </c>
      <c r="B11" s="6" t="s">
        <v>136</v>
      </c>
      <c r="F11" t="s">
        <v>137</v>
      </c>
    </row>
    <row r="12" spans="1:9" x14ac:dyDescent="0.45">
      <c r="A12" s="2" t="s">
        <v>23</v>
      </c>
      <c r="B12" s="2" t="s">
        <v>67</v>
      </c>
      <c r="C12" s="2" t="s">
        <v>138</v>
      </c>
      <c r="D12" s="3" t="s">
        <v>139</v>
      </c>
      <c r="F12" s="2" t="s">
        <v>22</v>
      </c>
      <c r="G12" s="2" t="s">
        <v>140</v>
      </c>
      <c r="H12" s="2" t="s">
        <v>141</v>
      </c>
      <c r="I12" s="2" t="s">
        <v>142</v>
      </c>
    </row>
    <row r="13" spans="1:9" x14ac:dyDescent="0.45">
      <c r="A13" s="2" t="s">
        <v>143</v>
      </c>
      <c r="B13" s="2" t="s">
        <v>144</v>
      </c>
      <c r="C13" s="5">
        <v>45720</v>
      </c>
      <c r="D13" s="2" t="str">
        <f>UPPER(A13)&amp;"-"&amp;MONTH(C13)&amp;"-"&amp;UPPER(B13)</f>
        <v>C-3-COM</v>
      </c>
      <c r="F13" s="2" t="s">
        <v>145</v>
      </c>
      <c r="G13" s="2" t="s">
        <v>120</v>
      </c>
      <c r="H13" s="2" t="s">
        <v>108</v>
      </c>
      <c r="I13" s="2" t="s">
        <v>114</v>
      </c>
    </row>
    <row r="14" spans="1:9" x14ac:dyDescent="0.45">
      <c r="A14" s="2" t="s">
        <v>146</v>
      </c>
      <c r="B14" s="2" t="s">
        <v>147</v>
      </c>
      <c r="C14" s="5">
        <v>45720</v>
      </c>
      <c r="D14" s="2" t="str">
        <f t="shared" ref="D14:D19" si="2">UPPER(A14)&amp;"-"&amp;MONTH(C14)&amp;"-"&amp;UPPER(B14)</f>
        <v>J-3-MOU</v>
      </c>
    </row>
    <row r="15" spans="1:9" x14ac:dyDescent="0.45">
      <c r="A15" s="2" t="s">
        <v>148</v>
      </c>
      <c r="B15" s="2" t="s">
        <v>149</v>
      </c>
      <c r="C15" s="5">
        <v>45724</v>
      </c>
      <c r="D15" s="2" t="str">
        <f t="shared" si="2"/>
        <v>B-3-PRI</v>
      </c>
      <c r="F15" s="4" t="s">
        <v>150</v>
      </c>
      <c r="G15" s="6" t="s">
        <v>151</v>
      </c>
    </row>
    <row r="16" spans="1:9" x14ac:dyDescent="0.45">
      <c r="A16" s="2" t="s">
        <v>152</v>
      </c>
      <c r="B16" s="2" t="s">
        <v>144</v>
      </c>
      <c r="C16" s="5">
        <v>45724</v>
      </c>
      <c r="D16" s="2" t="str">
        <f t="shared" si="2"/>
        <v>A-3-COM</v>
      </c>
      <c r="F16" s="2" t="s">
        <v>153</v>
      </c>
      <c r="G16" s="2" t="s">
        <v>92</v>
      </c>
      <c r="H16" s="2" t="s">
        <v>154</v>
      </c>
      <c r="I16" s="3" t="s">
        <v>94</v>
      </c>
    </row>
    <row r="17" spans="1:9" x14ac:dyDescent="0.45">
      <c r="A17" s="2" t="s">
        <v>155</v>
      </c>
      <c r="B17" s="2" t="s">
        <v>149</v>
      </c>
      <c r="C17" s="5">
        <v>45728</v>
      </c>
      <c r="D17" s="2" t="str">
        <f t="shared" si="2"/>
        <v>U-3-PRI</v>
      </c>
      <c r="F17" s="2" t="s">
        <v>156</v>
      </c>
      <c r="G17" s="5">
        <v>43139</v>
      </c>
      <c r="H17" s="2" t="s">
        <v>157</v>
      </c>
      <c r="I17" s="2" t="str">
        <f>PROPER(LEFT(H17,3))&amp;YEAR(G17)</f>
        <v>Ear2018</v>
      </c>
    </row>
    <row r="18" spans="1:9" x14ac:dyDescent="0.45">
      <c r="A18" s="2" t="s">
        <v>158</v>
      </c>
      <c r="B18" s="2" t="s">
        <v>149</v>
      </c>
      <c r="C18" s="5">
        <v>45728</v>
      </c>
      <c r="D18" s="2" t="str">
        <f t="shared" si="2"/>
        <v>E-3-PRI</v>
      </c>
      <c r="F18" s="2" t="s">
        <v>159</v>
      </c>
      <c r="G18" s="5">
        <v>43942</v>
      </c>
      <c r="H18" s="2" t="s">
        <v>160</v>
      </c>
      <c r="I18" s="2" t="str">
        <f t="shared" ref="I18:I23" si="3">PROPER(LEFT(H18,3))&amp;YEAR(G18)</f>
        <v>Whi2020</v>
      </c>
    </row>
    <row r="19" spans="1:9" x14ac:dyDescent="0.45">
      <c r="A19" s="2" t="s">
        <v>148</v>
      </c>
      <c r="B19" s="2" t="s">
        <v>144</v>
      </c>
      <c r="C19" s="5">
        <v>45728</v>
      </c>
      <c r="D19" s="2" t="str">
        <f t="shared" si="2"/>
        <v>B-3-COM</v>
      </c>
      <c r="F19" s="2" t="s">
        <v>161</v>
      </c>
      <c r="G19" s="5">
        <v>43781</v>
      </c>
      <c r="H19" s="2" t="s">
        <v>162</v>
      </c>
      <c r="I19" s="2" t="str">
        <f t="shared" si="3"/>
        <v>Mas2019</v>
      </c>
    </row>
    <row r="20" spans="1:9" x14ac:dyDescent="0.45">
      <c r="F20" s="2" t="s">
        <v>163</v>
      </c>
      <c r="G20" s="5">
        <v>44257</v>
      </c>
      <c r="H20" s="2" t="s">
        <v>164</v>
      </c>
      <c r="I20" s="2" t="str">
        <f t="shared" si="3"/>
        <v>Bla2021</v>
      </c>
    </row>
    <row r="21" spans="1:9" x14ac:dyDescent="0.45">
      <c r="A21" s="4" t="s">
        <v>165</v>
      </c>
      <c r="B21" s="6" t="s">
        <v>166</v>
      </c>
      <c r="F21" s="2" t="s">
        <v>167</v>
      </c>
      <c r="G21" s="5">
        <v>43819</v>
      </c>
      <c r="H21" s="2" t="s">
        <v>168</v>
      </c>
      <c r="I21" s="2" t="str">
        <f t="shared" si="3"/>
        <v>Min2019</v>
      </c>
    </row>
    <row r="22" spans="1:9" x14ac:dyDescent="0.45">
      <c r="A22" s="2" t="s">
        <v>169</v>
      </c>
      <c r="B22" s="2" t="s">
        <v>170</v>
      </c>
      <c r="C22" s="2" t="s">
        <v>94</v>
      </c>
      <c r="D22" s="3" t="s">
        <v>93</v>
      </c>
      <c r="F22" s="2" t="s">
        <v>171</v>
      </c>
      <c r="G22" s="5">
        <v>43938</v>
      </c>
      <c r="H22" s="2" t="s">
        <v>172</v>
      </c>
      <c r="I22" s="2" t="str">
        <f t="shared" si="3"/>
        <v>Eun2020</v>
      </c>
    </row>
    <row r="23" spans="1:9" x14ac:dyDescent="0.45">
      <c r="A23" s="2">
        <v>1</v>
      </c>
      <c r="B23" s="2">
        <v>6542</v>
      </c>
      <c r="C23" s="2" t="s">
        <v>173</v>
      </c>
      <c r="D23" s="2" t="str">
        <f>MID(C23,1,SEARCH("#",C23,1)-1)</f>
        <v>stand</v>
      </c>
      <c r="F23" s="2" t="s">
        <v>174</v>
      </c>
      <c r="G23" s="5">
        <v>44199</v>
      </c>
      <c r="H23" s="2" t="s">
        <v>175</v>
      </c>
      <c r="I23" s="2" t="str">
        <f t="shared" si="3"/>
        <v>Gli2021</v>
      </c>
    </row>
    <row r="24" spans="1:9" x14ac:dyDescent="0.45">
      <c r="A24" s="2">
        <v>2</v>
      </c>
      <c r="B24" s="2">
        <v>6193</v>
      </c>
      <c r="C24" s="2" t="s">
        <v>176</v>
      </c>
      <c r="D24" s="2" t="str">
        <f t="shared" ref="D24:D29" si="4">MID(C24,1,SEARCH("#",C24,1)-1)</f>
        <v>castle</v>
      </c>
    </row>
    <row r="25" spans="1:9" x14ac:dyDescent="0.45">
      <c r="A25" s="2">
        <v>3</v>
      </c>
      <c r="B25" s="2">
        <v>6073</v>
      </c>
      <c r="C25" s="2" t="s">
        <v>177</v>
      </c>
      <c r="D25" s="2" t="str">
        <f t="shared" si="4"/>
        <v>miche</v>
      </c>
    </row>
    <row r="26" spans="1:9" x14ac:dyDescent="0.45">
      <c r="A26" s="2">
        <v>4</v>
      </c>
      <c r="B26" s="2">
        <v>5968</v>
      </c>
      <c r="C26" s="2" t="s">
        <v>178</v>
      </c>
      <c r="D26" s="2" t="str">
        <f t="shared" si="4"/>
        <v>cathe</v>
      </c>
    </row>
    <row r="27" spans="1:9" x14ac:dyDescent="0.45">
      <c r="A27" s="2">
        <v>5</v>
      </c>
      <c r="B27" s="2">
        <v>5861</v>
      </c>
      <c r="C27" s="2" t="s">
        <v>179</v>
      </c>
      <c r="D27" s="2" t="str">
        <f t="shared" si="4"/>
        <v>doro</v>
      </c>
    </row>
    <row r="28" spans="1:9" x14ac:dyDescent="0.45">
      <c r="A28" s="2">
        <v>6</v>
      </c>
      <c r="B28" s="2">
        <v>5813</v>
      </c>
      <c r="C28" s="2" t="s">
        <v>180</v>
      </c>
      <c r="D28" s="2" t="str">
        <f t="shared" si="4"/>
        <v>violet</v>
      </c>
    </row>
    <row r="29" spans="1:9" x14ac:dyDescent="0.45">
      <c r="A29" s="2">
        <v>7</v>
      </c>
      <c r="B29" s="2">
        <v>5796</v>
      </c>
      <c r="C29" s="2" t="s">
        <v>181</v>
      </c>
      <c r="D29" s="2" t="str">
        <f t="shared" si="4"/>
        <v>angel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출제유형_01_유형1~3</vt:lpstr>
      <vt:lpstr>02_유형1~4</vt:lpstr>
      <vt:lpstr>03_유형1~2</vt:lpstr>
      <vt:lpstr>04_유형1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2025-12-04T05:33:27Z</dcterms:modified>
</cp:coreProperties>
</file>