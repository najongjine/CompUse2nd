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7ab8381e5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본예제" sheetId="1" r:id="R7fcf32fa7ccc4232"/>
    <x:sheet xmlns:r="http://schemas.openxmlformats.org/officeDocument/2006/relationships" name="AND조건" sheetId="2" r:id="R4d731fb104fa425e"/>
    <x:sheet xmlns:r="http://schemas.openxmlformats.org/officeDocument/2006/relationships" name="OR조건" sheetId="3" r:id="R6d8055b5d3824800"/>
    <x:sheet xmlns:r="http://schemas.openxmlformats.org/officeDocument/2006/relationships" name="연습문제" sheetId="4" r:id="Ra460916e0ec1452c"/>
    <x:sheet xmlns:r="http://schemas.openxmlformats.org/officeDocument/2006/relationships" name="정답" sheetId="5" r:id="R9f4da6bda4f5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0"/>
    </x:xf>
    <x:xf numFmtId="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horizontal="center" wrapText="0"/>
    </x:xf>
    <x:xf numFmtId="200" fontId="0" fillId="0" borderId="2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f6900b7444f59" /><Relationship Type="http://schemas.openxmlformats.org/officeDocument/2006/relationships/theme" Target="/xl/theme/theme1.xml" Id="Rda688daf01b2419e" /><Relationship Type="http://schemas.openxmlformats.org/officeDocument/2006/relationships/sharedStrings" Target="/xl/sharedStrings.xml" Id="Re2cc2033d34d42d7" /><Relationship Type="http://schemas.openxmlformats.org/officeDocument/2006/relationships/worksheet" Target="/xl/worksheets/sheet1.xml" Id="R7fcf32fa7ccc4232" /><Relationship Type="http://schemas.openxmlformats.org/officeDocument/2006/relationships/worksheet" Target="/xl/worksheets/sheet2.xml" Id="R4d731fb104fa425e" /><Relationship Type="http://schemas.openxmlformats.org/officeDocument/2006/relationships/worksheet" Target="/xl/worksheets/sheet3.xml" Id="R6d8055b5d3824800" /><Relationship Type="http://schemas.openxmlformats.org/officeDocument/2006/relationships/worksheet" Target="/xl/worksheets/sheet4.xml" Id="Ra460916e0ec1452c" /><Relationship Type="http://schemas.openxmlformats.org/officeDocument/2006/relationships/worksheet" Target="/xl/worksheets/sheet5.xml" Id="R9f4da6bda4f549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1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10" max="10" width="14" hidden="0" customWidth="1"/>
    <x:col min="11" max="11" width="34" hidden="0" customWidth="1"/>
    <x:col min="12" max="12" width="14" hidden="0" customWidth="1"/>
  </x:cols>
  <x:sheetData>
    <x:row r="1" ht="30" customHeight="1">
      <x:c r="A1" s="4" t="str">
        <x:v>데이터베이스 함수 기본 예제</x:v>
      </x:c>
      <x:c r="B1" s="4"/>
      <x:c r="C1" s="4"/>
      <x:c r="D1" s="4"/>
      <x:c r="E1" s="4"/>
      <x:c r="F1" s="4"/>
      <x:c r="G1" s="4"/>
      <x:c r="H1" s="4"/>
    </x:row>
    <x:row r="2">
      <x:c r="J2" t="str">
        <x:v>조건표</x:v>
      </x:c>
      <x:c r="K2" t="str">
        <x:v>조건</x:v>
      </x:c>
    </x:row>
    <x:row r="3">
      <x:c r="A3" s="23" t="str">
        <x:v>번호</x:v>
      </x:c>
      <x:c r="B3" s="23" t="str">
        <x:v>이름</x:v>
      </x:c>
      <x:c r="C3" s="23" t="str">
        <x:v>부서</x:v>
      </x:c>
      <x:c r="D3" s="23" t="str">
        <x:v>성별</x:v>
      </x:c>
      <x:c r="E3" s="23" t="str">
        <x:v>나이</x:v>
      </x:c>
      <x:c r="F3" s="23" t="str">
        <x:v>점수</x:v>
      </x:c>
      <x:c r="G3" s="23" t="str">
        <x:v>근속연수</x:v>
      </x:c>
      <x:c r="H3" s="23" t="str">
        <x:v>지역</x:v>
      </x:c>
      <x:c r="J3" s="12" t="str">
        <x:v>부서</x:v>
      </x:c>
    </x:row>
    <x:row r="4">
      <x:c r="A4" s="25" t="n">
        <x:v>1</x:v>
      </x:c>
      <x:c r="B4" s="24" t="str">
        <x:v>김민수</x:v>
      </x:c>
      <x:c r="C4" s="25" t="str">
        <x:v>영업부</x:v>
      </x:c>
      <x:c r="D4" s="25" t="str">
        <x:v>남</x:v>
      </x:c>
      <x:c r="E4" s="25" t="n">
        <x:v>27</x:v>
      </x:c>
      <x:c r="F4" s="26" t="n">
        <x:v>78</x:v>
      </x:c>
      <x:c r="G4" s="25" t="n">
        <x:v>2</x:v>
      </x:c>
      <x:c r="H4" s="25" t="str">
        <x:v>서울</x:v>
      </x:c>
      <x:c r="J4" s="12" t="str">
        <x:v>영업부</x:v>
      </x:c>
    </x:row>
    <x:row r="5">
      <x:c r="A5" s="25" t="n">
        <x:v>2</x:v>
      </x:c>
      <x:c r="B5" s="24" t="str">
        <x:v>이서연</x:v>
      </x:c>
      <x:c r="C5" s="25" t="str">
        <x:v>기획부</x:v>
      </x:c>
      <x:c r="D5" s="25" t="str">
        <x:v>여</x:v>
      </x:c>
      <x:c r="E5" s="25" t="n">
        <x:v>31</x:v>
      </x:c>
      <x:c r="F5" s="26" t="n">
        <x:v>92</x:v>
      </x:c>
      <x:c r="G5" s="25" t="n">
        <x:v>5</x:v>
      </x:c>
      <x:c r="H5" s="25" t="str">
        <x:v>부산</x:v>
      </x:c>
    </x:row>
    <x:row r="6">
      <x:c r="A6" s="25" t="n">
        <x:v>3</x:v>
      </x:c>
      <x:c r="B6" s="24" t="str">
        <x:v>박준호</x:v>
      </x:c>
      <x:c r="C6" s="25" t="str">
        <x:v>영업부</x:v>
      </x:c>
      <x:c r="D6" s="25" t="str">
        <x:v>남</x:v>
      </x:c>
      <x:c r="E6" s="25" t="n">
        <x:v>35</x:v>
      </x:c>
      <x:c r="F6" s="26" t="n">
        <x:v>85</x:v>
      </x:c>
      <x:c r="G6" s="25" t="n">
        <x:v>7</x:v>
      </x:c>
      <x:c r="H6" s="25" t="str">
        <x:v>서울</x:v>
      </x:c>
      <x:c r="J6" s="16" t="str">
        <x:v>함수</x:v>
      </x:c>
      <x:c r="K6" s="16" t="str">
        <x:v>수식</x:v>
      </x:c>
      <x:c r="L6" s="16" t="str">
        <x:v>결과</x:v>
      </x:c>
    </x:row>
    <x:row r="7">
      <x:c r="A7" s="25" t="n">
        <x:v>4</x:v>
      </x:c>
      <x:c r="B7" s="24" t="str">
        <x:v>최지우</x:v>
      </x:c>
      <x:c r="C7" s="25" t="str">
        <x:v>개발부</x:v>
      </x:c>
      <x:c r="D7" s="25" t="str">
        <x:v>여</x:v>
      </x:c>
      <x:c r="E7" s="25" t="n">
        <x:v>29</x:v>
      </x:c>
      <x:c r="F7" s="26" t="n">
        <x:v>88</x:v>
      </x:c>
      <x:c r="G7" s="25" t="n">
        <x:v>4</x:v>
      </x:c>
      <x:c r="H7" s="25" t="str">
        <x:v>대전</x:v>
      </x:c>
      <x:c r="J7" s="13" t="str">
        <x:v>DSUM</x:v>
      </x:c>
      <x:c r="K7" s="13" t="n">
        <x:f>DSUM(A3:H12,"점수",J3:J4)</x:f>
        <x:v>0</x:v>
      </x:c>
      <x:c r="L7" s="19" t="n">
        <x:v>348</x:v>
      </x:c>
    </x:row>
    <x:row r="8">
      <x:c r="A8" s="25" t="n">
        <x:v>5</x:v>
      </x:c>
      <x:c r="B8" s="24" t="str">
        <x:v>정하늘</x:v>
      </x:c>
      <x:c r="C8" s="25" t="str">
        <x:v>영업부</x:v>
      </x:c>
      <x:c r="D8" s="25" t="str">
        <x:v>여</x:v>
      </x:c>
      <x:c r="E8" s="25" t="n">
        <x:v>26</x:v>
      </x:c>
      <x:c r="F8" s="26" t="n">
        <x:v>95</x:v>
      </x:c>
      <x:c r="G8" s="25" t="n">
        <x:v>3</x:v>
      </x:c>
      <x:c r="H8" s="25" t="str">
        <x:v>서울</x:v>
      </x:c>
      <x:c r="J8" s="13" t="str">
        <x:v>DAVERAGE</x:v>
      </x:c>
      <x:c r="K8" s="13" t="n">
        <x:f>DAVERAGE(A3:H12,"점수",J3:J4)</x:f>
        <x:v>87</x:v>
      </x:c>
      <x:c r="L8" s="19" t="n">
        <x:v>87</x:v>
      </x:c>
    </x:row>
    <x:row r="9">
      <x:c r="A9" s="25" t="n">
        <x:v>6</x:v>
      </x:c>
      <x:c r="B9" s="24" t="str">
        <x:v>한도윤</x:v>
      </x:c>
      <x:c r="C9" s="25" t="str">
        <x:v>개발부</x:v>
      </x:c>
      <x:c r="D9" s="25" t="str">
        <x:v>남</x:v>
      </x:c>
      <x:c r="E9" s="25" t="n">
        <x:v>42</x:v>
      </x:c>
      <x:c r="F9" s="26" t="n">
        <x:v>73</x:v>
      </x:c>
      <x:c r="G9" s="25" t="n">
        <x:v>12</x:v>
      </x:c>
      <x:c r="H9" s="25" t="str">
        <x:v>부산</x:v>
      </x:c>
      <x:c r="J9" s="13" t="str">
        <x:v>DCOUNT</x:v>
      </x:c>
      <x:c r="K9" s="13" t="n">
        <x:f>DCOUNT(A3:H12,"점수",J3:J4)</x:f>
        <x:v>4</x:v>
      </x:c>
      <x:c r="L9" s="19" t="n">
        <x:v>4</x:v>
      </x:c>
    </x:row>
    <x:row r="10">
      <x:c r="A10" s="25" t="n">
        <x:v>7</x:v>
      </x:c>
      <x:c r="B10" s="24" t="str">
        <x:v>윤아름</x:v>
      </x:c>
      <x:c r="C10" s="25" t="str">
        <x:v>기획부</x:v>
      </x:c>
      <x:c r="D10" s="25" t="str">
        <x:v>여</x:v>
      </x:c>
      <x:c r="E10" s="25" t="n">
        <x:v>38</x:v>
      </x:c>
      <x:c r="F10" s="26" t="n">
        <x:v>81</x:v>
      </x:c>
      <x:c r="G10" s="25" t="n">
        <x:v>9</x:v>
      </x:c>
      <x:c r="H10" s="25" t="str">
        <x:v>서울</x:v>
      </x:c>
      <x:c r="J10" s="13" t="str">
        <x:v>DCOUNTA</x:v>
      </x:c>
      <x:c r="K10" s="13" t="n">
        <x:f>DCOUNTA(A3:H12,"이름",J3:J4)</x:f>
        <x:v>4</x:v>
      </x:c>
      <x:c r="L10" s="19" t="n">
        <x:v>4</x:v>
      </x:c>
    </x:row>
    <x:row r="11">
      <x:c r="A11" s="25" t="n">
        <x:v>8</x:v>
      </x:c>
      <x:c r="B11" s="24" t="str">
        <x:v>오세훈</x:v>
      </x:c>
      <x:c r="C11" s="25" t="str">
        <x:v>영업부</x:v>
      </x:c>
      <x:c r="D11" s="25" t="str">
        <x:v>남</x:v>
      </x:c>
      <x:c r="E11" s="25" t="n">
        <x:v>33</x:v>
      </x:c>
      <x:c r="F11" s="26" t="n">
        <x:v>90</x:v>
      </x:c>
      <x:c r="G11" s="25" t="n">
        <x:v>6</x:v>
      </x:c>
      <x:c r="H11" s="25" t="str">
        <x:v>대전</x:v>
      </x:c>
      <x:c r="J11" s="13" t="str">
        <x:v>DMAX</x:v>
      </x:c>
      <x:c r="K11" s="13" t="n">
        <x:f>DMAX(A3:H12,"점수",J3:J4)</x:f>
        <x:v>95</x:v>
      </x:c>
      <x:c r="L11" s="19" t="n">
        <x:v>95</x:v>
      </x:c>
    </x:row>
    <x:row r="12">
      <x:c r="A12" s="25" t="n">
        <x:v>9</x:v>
      </x:c>
      <x:c r="B12" s="24" t="str">
        <x:v>강유진</x:v>
      </x:c>
      <x:c r="C12" s="25" t="str">
        <x:v>개발부</x:v>
      </x:c>
      <x:c r="D12" s="25" t="str">
        <x:v>여</x:v>
      </x:c>
      <x:c r="E12" s="25" t="n">
        <x:v>24</x:v>
      </x:c>
      <x:c r="F12" s="26" t="n">
        <x:v>84</x:v>
      </x:c>
      <x:c r="G12" s="25" t="n">
        <x:v>1</x:v>
      </x:c>
      <x:c r="H12" s="25" t="str">
        <x:v>서울</x:v>
      </x:c>
      <x:c r="J12" s="13" t="str">
        <x:v>DMIN</x:v>
      </x:c>
      <x:c r="K12" s="13" t="n">
        <x:f>DMIN(A3:H12,"점수",J3:J4)</x:f>
        <x:v>78</x:v>
      </x:c>
      <x:c r="L12" s="19" t="n">
        <x:v>78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1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10" max="10" width="44" hidden="0" customWidth="1"/>
    <x:col min="11" max="11" width="37" hidden="0" customWidth="1"/>
  </x:cols>
  <x:sheetData>
    <x:row r="1" ht="30" customHeight="1">
      <x:c r="A1" s="4" t="str">
        <x:v>같은 행에 조건을 쓰면 AND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번호</x:v>
      </x:c>
      <x:c r="B3" s="23" t="str">
        <x:v>이름</x:v>
      </x:c>
      <x:c r="C3" s="23" t="str">
        <x:v>부서</x:v>
      </x:c>
      <x:c r="D3" s="23" t="str">
        <x:v>성별</x:v>
      </x:c>
      <x:c r="E3" s="23" t="str">
        <x:v>나이</x:v>
      </x:c>
      <x:c r="F3" s="23" t="str">
        <x:v>점수</x:v>
      </x:c>
      <x:c r="G3" s="23" t="str">
        <x:v>근속연수</x:v>
      </x:c>
      <x:c r="H3" s="23" t="str">
        <x:v>지역</x:v>
      </x:c>
      <x:c r="J3" s="12" t="str">
        <x:v>부서</x:v>
      </x:c>
      <x:c r="K3" s="12" t="str">
        <x:v>점수</x:v>
      </x:c>
    </x:row>
    <x:row r="4">
      <x:c r="A4" s="25" t="n">
        <x:v>1</x:v>
      </x:c>
      <x:c r="B4" s="24" t="str">
        <x:v>김민수</x:v>
      </x:c>
      <x:c r="C4" s="25" t="str">
        <x:v>영업부</x:v>
      </x:c>
      <x:c r="D4" s="25" t="str">
        <x:v>남</x:v>
      </x:c>
      <x:c r="E4" s="25" t="n">
        <x:v>27</x:v>
      </x:c>
      <x:c r="F4" s="26" t="n">
        <x:v>78</x:v>
      </x:c>
      <x:c r="G4" s="25" t="n">
        <x:v>2</x:v>
      </x:c>
      <x:c r="H4" s="25" t="str">
        <x:v>서울</x:v>
      </x:c>
      <x:c r="J4" s="12" t="str">
        <x:v>영업부</x:v>
      </x:c>
      <x:c r="K4" s="12" t="str">
        <x:v>&gt;=85</x:v>
      </x:c>
    </x:row>
    <x:row r="5">
      <x:c r="A5" s="25" t="n">
        <x:v>2</x:v>
      </x:c>
      <x:c r="B5" s="24" t="str">
        <x:v>이서연</x:v>
      </x:c>
      <x:c r="C5" s="25" t="str">
        <x:v>기획부</x:v>
      </x:c>
      <x:c r="D5" s="25" t="str">
        <x:v>여</x:v>
      </x:c>
      <x:c r="E5" s="25" t="n">
        <x:v>31</x:v>
      </x:c>
      <x:c r="F5" s="26" t="n">
        <x:v>92</x:v>
      </x:c>
      <x:c r="G5" s="25" t="n">
        <x:v>5</x:v>
      </x:c>
      <x:c r="H5" s="25" t="str">
        <x:v>부산</x:v>
      </x:c>
    </x:row>
    <x:row r="6">
      <x:c r="A6" s="25" t="n">
        <x:v>3</x:v>
      </x:c>
      <x:c r="B6" s="24" t="str">
        <x:v>박준호</x:v>
      </x:c>
      <x:c r="C6" s="25" t="str">
        <x:v>영업부</x:v>
      </x:c>
      <x:c r="D6" s="25" t="str">
        <x:v>남</x:v>
      </x:c>
      <x:c r="E6" s="25" t="n">
        <x:v>35</x:v>
      </x:c>
      <x:c r="F6" s="26" t="n">
        <x:v>85</x:v>
      </x:c>
      <x:c r="G6" s="25" t="n">
        <x:v>7</x:v>
      </x:c>
      <x:c r="H6" s="25" t="str">
        <x:v>서울</x:v>
      </x:c>
      <x:c r="J6" s="15" t="str">
        <x:v>문제</x:v>
      </x:c>
      <x:c r="K6" s="15" t="str">
        <x:v>수식</x:v>
      </x:c>
      <x:c r="L6" s="15" t="str">
        <x:v>결과</x:v>
      </x:c>
    </x:row>
    <x:row r="7">
      <x:c r="A7" s="25" t="n">
        <x:v>4</x:v>
      </x:c>
      <x:c r="B7" s="24" t="str">
        <x:v>최지우</x:v>
      </x:c>
      <x:c r="C7" s="25" t="str">
        <x:v>개발부</x:v>
      </x:c>
      <x:c r="D7" s="25" t="str">
        <x:v>여</x:v>
      </x:c>
      <x:c r="E7" s="25" t="n">
        <x:v>29</x:v>
      </x:c>
      <x:c r="F7" s="26" t="n">
        <x:v>88</x:v>
      </x:c>
      <x:c r="G7" s="25" t="n">
        <x:v>4</x:v>
      </x:c>
      <x:c r="H7" s="25" t="str">
        <x:v>대전</x:v>
      </x:c>
      <x:c r="J7" s="13" t="str">
        <x:v>영업부이면서 점수 85점 이상인 사람의 점수 합계</x:v>
      </x:c>
      <x:c r="K7" s="13" t="n">
        <x:f>DSUM(A3:H12,"점수",J3:K4)</x:f>
        <x:v>0</x:v>
      </x:c>
      <x:c r="L7" s="18" t="n">
        <x:v>270</x:v>
      </x:c>
    </x:row>
    <x:row r="8">
      <x:c r="A8" s="25" t="n">
        <x:v>5</x:v>
      </x:c>
      <x:c r="B8" s="24" t="str">
        <x:v>정하늘</x:v>
      </x:c>
      <x:c r="C8" s="25" t="str">
        <x:v>영업부</x:v>
      </x:c>
      <x:c r="D8" s="25" t="str">
        <x:v>여</x:v>
      </x:c>
      <x:c r="E8" s="25" t="n">
        <x:v>26</x:v>
      </x:c>
      <x:c r="F8" s="26" t="n">
        <x:v>95</x:v>
      </x:c>
      <x:c r="G8" s="25" t="n">
        <x:v>3</x:v>
      </x:c>
      <x:c r="H8" s="25" t="str">
        <x:v>서울</x:v>
      </x:c>
    </x:row>
    <x:row r="9">
      <x:c r="A9" s="25" t="n">
        <x:v>6</x:v>
      </x:c>
      <x:c r="B9" s="24" t="str">
        <x:v>한도윤</x:v>
      </x:c>
      <x:c r="C9" s="25" t="str">
        <x:v>개발부</x:v>
      </x:c>
      <x:c r="D9" s="25" t="str">
        <x:v>남</x:v>
      </x:c>
      <x:c r="E9" s="25" t="n">
        <x:v>42</x:v>
      </x:c>
      <x:c r="F9" s="26" t="n">
        <x:v>73</x:v>
      </x:c>
      <x:c r="G9" s="25" t="n">
        <x:v>12</x:v>
      </x:c>
      <x:c r="H9" s="25" t="str">
        <x:v>부산</x:v>
      </x:c>
    </x:row>
    <x:row r="10">
      <x:c r="A10" s="25" t="n">
        <x:v>7</x:v>
      </x:c>
      <x:c r="B10" s="24" t="str">
        <x:v>윤아름</x:v>
      </x:c>
      <x:c r="C10" s="25" t="str">
        <x:v>기획부</x:v>
      </x:c>
      <x:c r="D10" s="25" t="str">
        <x:v>여</x:v>
      </x:c>
      <x:c r="E10" s="25" t="n">
        <x:v>38</x:v>
      </x:c>
      <x:c r="F10" s="26" t="n">
        <x:v>81</x:v>
      </x:c>
      <x:c r="G10" s="25" t="n">
        <x:v>9</x:v>
      </x:c>
      <x:c r="H10" s="25" t="str">
        <x:v>서울</x:v>
      </x:c>
    </x:row>
    <x:row r="11">
      <x:c r="A11" s="25" t="n">
        <x:v>8</x:v>
      </x:c>
      <x:c r="B11" s="24" t="str">
        <x:v>오세훈</x:v>
      </x:c>
      <x:c r="C11" s="25" t="str">
        <x:v>영업부</x:v>
      </x:c>
      <x:c r="D11" s="25" t="str">
        <x:v>남</x:v>
      </x:c>
      <x:c r="E11" s="25" t="n">
        <x:v>33</x:v>
      </x:c>
      <x:c r="F11" s="26" t="n">
        <x:v>90</x:v>
      </x:c>
      <x:c r="G11" s="25" t="n">
        <x:v>6</x:v>
      </x:c>
      <x:c r="H11" s="25" t="str">
        <x:v>대전</x:v>
      </x:c>
    </x:row>
    <x:row r="12">
      <x:c r="A12" s="25" t="n">
        <x:v>9</x:v>
      </x:c>
      <x:c r="B12" s="24" t="str">
        <x:v>강유진</x:v>
      </x:c>
      <x:c r="C12" s="25" t="str">
        <x:v>개발부</x:v>
      </x:c>
      <x:c r="D12" s="25" t="str">
        <x:v>여</x:v>
      </x:c>
      <x:c r="E12" s="25" t="n">
        <x:v>24</x:v>
      </x:c>
      <x:c r="F12" s="26" t="n">
        <x:v>84</x:v>
      </x:c>
      <x:c r="G12" s="25" t="n">
        <x:v>1</x:v>
      </x:c>
      <x:c r="H12" s="25" t="str">
        <x:v>서울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1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10" max="10" width="36" hidden="0" customWidth="1"/>
    <x:col min="11" max="11" width="38" hidden="0" customWidth="1"/>
  </x:cols>
  <x:sheetData>
    <x:row r="1" ht="30" customHeight="1">
      <x:c r="A1" s="4" t="str">
        <x:v>다른 행에 조건을 쓰면 OR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번호</x:v>
      </x:c>
      <x:c r="B3" s="23" t="str">
        <x:v>이름</x:v>
      </x:c>
      <x:c r="C3" s="23" t="str">
        <x:v>부서</x:v>
      </x:c>
      <x:c r="D3" s="23" t="str">
        <x:v>성별</x:v>
      </x:c>
      <x:c r="E3" s="23" t="str">
        <x:v>나이</x:v>
      </x:c>
      <x:c r="F3" s="23" t="str">
        <x:v>점수</x:v>
      </x:c>
      <x:c r="G3" s="23" t="str">
        <x:v>근속연수</x:v>
      </x:c>
      <x:c r="H3" s="23" t="str">
        <x:v>지역</x:v>
      </x:c>
      <x:c r="J3" s="12" t="str">
        <x:v>지역</x:v>
      </x:c>
    </x:row>
    <x:row r="4">
      <x:c r="A4" s="25" t="n">
        <x:v>1</x:v>
      </x:c>
      <x:c r="B4" s="24" t="str">
        <x:v>김민수</x:v>
      </x:c>
      <x:c r="C4" s="25" t="str">
        <x:v>영업부</x:v>
      </x:c>
      <x:c r="D4" s="25" t="str">
        <x:v>남</x:v>
      </x:c>
      <x:c r="E4" s="25" t="n">
        <x:v>27</x:v>
      </x:c>
      <x:c r="F4" s="26" t="n">
        <x:v>78</x:v>
      </x:c>
      <x:c r="G4" s="25" t="n">
        <x:v>2</x:v>
      </x:c>
      <x:c r="H4" s="25" t="str">
        <x:v>서울</x:v>
      </x:c>
      <x:c r="J4" s="12" t="str">
        <x:v>서울</x:v>
      </x:c>
    </x:row>
    <x:row r="5">
      <x:c r="A5" s="25" t="n">
        <x:v>2</x:v>
      </x:c>
      <x:c r="B5" s="24" t="str">
        <x:v>이서연</x:v>
      </x:c>
      <x:c r="C5" s="25" t="str">
        <x:v>기획부</x:v>
      </x:c>
      <x:c r="D5" s="25" t="str">
        <x:v>여</x:v>
      </x:c>
      <x:c r="E5" s="25" t="n">
        <x:v>31</x:v>
      </x:c>
      <x:c r="F5" s="26" t="n">
        <x:v>92</x:v>
      </x:c>
      <x:c r="G5" s="25" t="n">
        <x:v>5</x:v>
      </x:c>
      <x:c r="H5" s="25" t="str">
        <x:v>부산</x:v>
      </x:c>
      <x:c r="J5" s="12" t="str">
        <x:v>부산</x:v>
      </x:c>
    </x:row>
    <x:row r="6">
      <x:c r="A6" s="25" t="n">
        <x:v>3</x:v>
      </x:c>
      <x:c r="B6" s="24" t="str">
        <x:v>박준호</x:v>
      </x:c>
      <x:c r="C6" s="25" t="str">
        <x:v>영업부</x:v>
      </x:c>
      <x:c r="D6" s="25" t="str">
        <x:v>남</x:v>
      </x:c>
      <x:c r="E6" s="25" t="n">
        <x:v>35</x:v>
      </x:c>
      <x:c r="F6" s="26" t="n">
        <x:v>85</x:v>
      </x:c>
      <x:c r="G6" s="25" t="n">
        <x:v>7</x:v>
      </x:c>
      <x:c r="H6" s="25" t="str">
        <x:v>서울</x:v>
      </x:c>
    </x:row>
    <x:row r="7">
      <x:c r="A7" s="25" t="n">
        <x:v>4</x:v>
      </x:c>
      <x:c r="B7" s="24" t="str">
        <x:v>최지우</x:v>
      </x:c>
      <x:c r="C7" s="25" t="str">
        <x:v>개발부</x:v>
      </x:c>
      <x:c r="D7" s="25" t="str">
        <x:v>여</x:v>
      </x:c>
      <x:c r="E7" s="25" t="n">
        <x:v>29</x:v>
      </x:c>
      <x:c r="F7" s="26" t="n">
        <x:v>88</x:v>
      </x:c>
      <x:c r="G7" s="25" t="n">
        <x:v>4</x:v>
      </x:c>
      <x:c r="H7" s="25" t="str">
        <x:v>대전</x:v>
      </x:c>
      <x:c r="J7" s="15" t="str">
        <x:v>문제</x:v>
      </x:c>
      <x:c r="K7" s="15" t="str">
        <x:v>수식</x:v>
      </x:c>
      <x:c r="L7" s="15" t="str">
        <x:v>결과</x:v>
      </x:c>
    </x:row>
    <x:row r="8">
      <x:c r="A8" s="25" t="n">
        <x:v>5</x:v>
      </x:c>
      <x:c r="B8" s="24" t="str">
        <x:v>정하늘</x:v>
      </x:c>
      <x:c r="C8" s="25" t="str">
        <x:v>영업부</x:v>
      </x:c>
      <x:c r="D8" s="25" t="str">
        <x:v>여</x:v>
      </x:c>
      <x:c r="E8" s="25" t="n">
        <x:v>26</x:v>
      </x:c>
      <x:c r="F8" s="26" t="n">
        <x:v>95</x:v>
      </x:c>
      <x:c r="G8" s="25" t="n">
        <x:v>3</x:v>
      </x:c>
      <x:c r="H8" s="25" t="str">
        <x:v>서울</x:v>
      </x:c>
      <x:c r="J8" s="13" t="str">
        <x:v>지역이 서울 또는 부산인 사람 수</x:v>
      </x:c>
      <x:c r="K8" s="13" t="n">
        <x:f>DCOUNTA(A3:H12,"이름",J3:J5)</x:f>
        <x:v>7</x:v>
      </x:c>
      <x:c r="L8" s="18" t="n">
        <x:v>7</x:v>
      </x:c>
    </x:row>
    <x:row r="9">
      <x:c r="A9" s="25" t="n">
        <x:v>6</x:v>
      </x:c>
      <x:c r="B9" s="24" t="str">
        <x:v>한도윤</x:v>
      </x:c>
      <x:c r="C9" s="25" t="str">
        <x:v>개발부</x:v>
      </x:c>
      <x:c r="D9" s="25" t="str">
        <x:v>남</x:v>
      </x:c>
      <x:c r="E9" s="25" t="n">
        <x:v>42</x:v>
      </x:c>
      <x:c r="F9" s="26" t="n">
        <x:v>73</x:v>
      </x:c>
      <x:c r="G9" s="25" t="n">
        <x:v>12</x:v>
      </x:c>
      <x:c r="H9" s="25" t="str">
        <x:v>부산</x:v>
      </x:c>
    </x:row>
    <x:row r="10">
      <x:c r="A10" s="25" t="n">
        <x:v>7</x:v>
      </x:c>
      <x:c r="B10" s="24" t="str">
        <x:v>윤아름</x:v>
      </x:c>
      <x:c r="C10" s="25" t="str">
        <x:v>기획부</x:v>
      </x:c>
      <x:c r="D10" s="25" t="str">
        <x:v>여</x:v>
      </x:c>
      <x:c r="E10" s="25" t="n">
        <x:v>38</x:v>
      </x:c>
      <x:c r="F10" s="26" t="n">
        <x:v>81</x:v>
      </x:c>
      <x:c r="G10" s="25" t="n">
        <x:v>9</x:v>
      </x:c>
      <x:c r="H10" s="25" t="str">
        <x:v>서울</x:v>
      </x:c>
    </x:row>
    <x:row r="11">
      <x:c r="A11" s="25" t="n">
        <x:v>8</x:v>
      </x:c>
      <x:c r="B11" s="24" t="str">
        <x:v>오세훈</x:v>
      </x:c>
      <x:c r="C11" s="25" t="str">
        <x:v>영업부</x:v>
      </x:c>
      <x:c r="D11" s="25" t="str">
        <x:v>남</x:v>
      </x:c>
      <x:c r="E11" s="25" t="n">
        <x:v>33</x:v>
      </x:c>
      <x:c r="F11" s="26" t="n">
        <x:v>90</x:v>
      </x:c>
      <x:c r="G11" s="25" t="n">
        <x:v>6</x:v>
      </x:c>
      <x:c r="H11" s="25" t="str">
        <x:v>대전</x:v>
      </x:c>
    </x:row>
    <x:row r="12">
      <x:c r="A12" s="25" t="n">
        <x:v>9</x:v>
      </x:c>
      <x:c r="B12" s="24" t="str">
        <x:v>강유진</x:v>
      </x:c>
      <x:c r="C12" s="25" t="str">
        <x:v>개발부</x:v>
      </x:c>
      <x:c r="D12" s="25" t="str">
        <x:v>여</x:v>
      </x:c>
      <x:c r="E12" s="25" t="n">
        <x:v>24</x:v>
      </x:c>
      <x:c r="F12" s="26" t="n">
        <x:v>84</x:v>
      </x:c>
      <x:c r="G12" s="25" t="n">
        <x:v>1</x:v>
      </x:c>
      <x:c r="H12" s="25" t="str">
        <x:v>서울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1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10" max="10" width="7" hidden="0" customWidth="1"/>
    <x:col min="11" max="11" width="34" hidden="0" customWidth="1"/>
    <x:col min="12" max="12" width="15" hidden="0" customWidth="1"/>
    <x:col min="13" max="13" width="18" hidden="0" customWidth="1"/>
  </x:cols>
  <x:sheetData>
    <x:row r="1" ht="30" customHeight="1">
      <x:c r="A1" s="4" t="str">
        <x:v>컴활 2급 데이터베이스 함수 연습</x:v>
      </x:c>
      <x:c r="B1" s="4"/>
      <x:c r="C1" s="4"/>
      <x:c r="D1" s="4"/>
      <x:c r="E1" s="4"/>
      <x:c r="F1" s="4"/>
      <x:c r="G1" s="4"/>
      <x:c r="H1" s="4"/>
    </x:row>
    <x:row r="2">
      <x:c r="J2" s="15" t="str">
        <x:v>번호</x:v>
      </x:c>
      <x:c r="K2" s="15" t="str">
        <x:v>문제</x:v>
      </x:c>
      <x:c r="L2" s="15" t="str">
        <x:v>조건표 위치</x:v>
      </x:c>
      <x:c r="M2" s="15" t="str">
        <x:v>답 입력</x:v>
      </x:c>
    </x:row>
    <x:row r="3">
      <x:c r="A3" s="23" t="str">
        <x:v>번호</x:v>
      </x:c>
      <x:c r="B3" s="23" t="str">
        <x:v>이름</x:v>
      </x:c>
      <x:c r="C3" s="23" t="str">
        <x:v>부서</x:v>
      </x:c>
      <x:c r="D3" s="23" t="str">
        <x:v>성별</x:v>
      </x:c>
      <x:c r="E3" s="23" t="str">
        <x:v>나이</x:v>
      </x:c>
      <x:c r="F3" s="23" t="str">
        <x:v>점수</x:v>
      </x:c>
      <x:c r="G3" s="23" t="str">
        <x:v>근속연수</x:v>
      </x:c>
      <x:c r="H3" s="23" t="str">
        <x:v>지역</x:v>
      </x:c>
      <x:c r="J3" s="13" t="n">
        <x:v>1</x:v>
      </x:c>
      <x:c r="K3" s="13" t="str">
        <x:v>개발부 직원의 점수 평균</x:v>
      </x:c>
      <x:c r="L3" s="13" t="str">
        <x:v>O3:O4</x:v>
      </x:c>
      <x:c r="M3" s="21" t="str"/>
      <x:c r="O3" s="22" t="str">
        <x:v>부서</x:v>
      </x:c>
      <x:c r="P3" s="22"/>
      <x:c r="Q3" s="22" t="str">
        <x:v>나이</x:v>
      </x:c>
      <x:c r="R3" s="22"/>
      <x:c r="S3" s="22" t="str">
        <x:v>지역</x:v>
      </x:c>
      <x:c r="T3" s="22"/>
    </x:row>
    <x:row r="4">
      <x:c r="A4" s="25" t="n">
        <x:v>1</x:v>
      </x:c>
      <x:c r="B4" s="24" t="str">
        <x:v>김민수</x:v>
      </x:c>
      <x:c r="C4" s="25" t="str">
        <x:v>영업부</x:v>
      </x:c>
      <x:c r="D4" s="25" t="str">
        <x:v>남</x:v>
      </x:c>
      <x:c r="E4" s="25" t="n">
        <x:v>27</x:v>
      </x:c>
      <x:c r="F4" s="26" t="n">
        <x:v>78</x:v>
      </x:c>
      <x:c r="G4" s="25" t="n">
        <x:v>2</x:v>
      </x:c>
      <x:c r="H4" s="25" t="str">
        <x:v>서울</x:v>
      </x:c>
      <x:c r="J4" s="13" t="n">
        <x:v>2</x:v>
      </x:c>
      <x:c r="K4" s="13" t="str">
        <x:v>나이가 30세 이상인 직원 수</x:v>
      </x:c>
      <x:c r="L4" s="13" t="str">
        <x:v>Q3:Q4</x:v>
      </x:c>
      <x:c r="M4" s="21" t="str"/>
      <x:c r="O4" s="22" t="str">
        <x:v>개발부</x:v>
      </x:c>
      <x:c r="P4" s="22"/>
      <x:c r="Q4" s="22" t="str">
        <x:v>&gt;=30</x:v>
      </x:c>
      <x:c r="R4" s="22"/>
      <x:c r="S4" s="22" t="str">
        <x:v>서울</x:v>
      </x:c>
      <x:c r="T4" s="22"/>
    </x:row>
    <x:row r="5">
      <x:c r="A5" s="25" t="n">
        <x:v>2</x:v>
      </x:c>
      <x:c r="B5" s="24" t="str">
        <x:v>이서연</x:v>
      </x:c>
      <x:c r="C5" s="25" t="str">
        <x:v>기획부</x:v>
      </x:c>
      <x:c r="D5" s="25" t="str">
        <x:v>여</x:v>
      </x:c>
      <x:c r="E5" s="25" t="n">
        <x:v>31</x:v>
      </x:c>
      <x:c r="F5" s="26" t="n">
        <x:v>92</x:v>
      </x:c>
      <x:c r="G5" s="25" t="n">
        <x:v>5</x:v>
      </x:c>
      <x:c r="H5" s="25" t="str">
        <x:v>부산</x:v>
      </x:c>
      <x:c r="J5" s="13" t="n">
        <x:v>3</x:v>
      </x:c>
      <x:c r="K5" s="13" t="str">
        <x:v>서울 지역 직원의 최고 점수</x:v>
      </x:c>
      <x:c r="L5" s="13" t="str">
        <x:v>S3:S4</x:v>
      </x:c>
      <x:c r="M5" s="21" t="str"/>
      <x:c r="O5" s="22"/>
      <x:c r="P5" s="22"/>
      <x:c r="Q5" s="22"/>
      <x:c r="R5" s="22"/>
      <x:c r="S5" s="22"/>
      <x:c r="T5" s="22"/>
    </x:row>
    <x:row r="6">
      <x:c r="A6" s="25" t="n">
        <x:v>3</x:v>
      </x:c>
      <x:c r="B6" s="24" t="str">
        <x:v>박준호</x:v>
      </x:c>
      <x:c r="C6" s="25" t="str">
        <x:v>영업부</x:v>
      </x:c>
      <x:c r="D6" s="25" t="str">
        <x:v>남</x:v>
      </x:c>
      <x:c r="E6" s="25" t="n">
        <x:v>35</x:v>
      </x:c>
      <x:c r="F6" s="26" t="n">
        <x:v>85</x:v>
      </x:c>
      <x:c r="G6" s="25" t="n">
        <x:v>7</x:v>
      </x:c>
      <x:c r="H6" s="25" t="str">
        <x:v>서울</x:v>
      </x:c>
      <x:c r="J6" s="13" t="n">
        <x:v>4</x:v>
      </x:c>
      <x:c r="K6" s="13" t="str">
        <x:v>기획부이면서 여성인 직원 수</x:v>
      </x:c>
      <x:c r="L6" s="13" t="str">
        <x:v>O7:P8</x:v>
      </x:c>
      <x:c r="M6" s="21" t="str"/>
      <x:c r="O6" s="22"/>
      <x:c r="P6" s="22"/>
      <x:c r="Q6" s="22"/>
      <x:c r="R6" s="22"/>
      <x:c r="S6" s="22"/>
      <x:c r="T6" s="22"/>
    </x:row>
    <x:row r="7">
      <x:c r="A7" s="25" t="n">
        <x:v>4</x:v>
      </x:c>
      <x:c r="B7" s="24" t="str">
        <x:v>최지우</x:v>
      </x:c>
      <x:c r="C7" s="25" t="str">
        <x:v>개발부</x:v>
      </x:c>
      <x:c r="D7" s="25" t="str">
        <x:v>여</x:v>
      </x:c>
      <x:c r="E7" s="25" t="n">
        <x:v>29</x:v>
      </x:c>
      <x:c r="F7" s="26" t="n">
        <x:v>88</x:v>
      </x:c>
      <x:c r="G7" s="25" t="n">
        <x:v>4</x:v>
      </x:c>
      <x:c r="H7" s="25" t="str">
        <x:v>대전</x:v>
      </x:c>
      <x:c r="J7" s="13" t="n">
        <x:v>5</x:v>
      </x:c>
      <x:c r="K7" s="13" t="str">
        <x:v>영업부 또는 개발부 직원의 점수 합계</x:v>
      </x:c>
      <x:c r="L7" s="13" t="str">
        <x:v>R7:R9</x:v>
      </x:c>
      <x:c r="M7" s="21" t="str"/>
      <x:c r="O7" s="22" t="str">
        <x:v>부서</x:v>
      </x:c>
      <x:c r="P7" s="22" t="str">
        <x:v>성별</x:v>
      </x:c>
      <x:c r="Q7" s="22"/>
      <x:c r="R7" s="22" t="str">
        <x:v>부서</x:v>
      </x:c>
      <x:c r="S7" s="22"/>
      <x:c r="T7" s="22" t="str">
        <x:v>근속연수</x:v>
      </x:c>
    </x:row>
    <x:row r="8">
      <x:c r="A8" s="25" t="n">
        <x:v>5</x:v>
      </x:c>
      <x:c r="B8" s="24" t="str">
        <x:v>정하늘</x:v>
      </x:c>
      <x:c r="C8" s="25" t="str">
        <x:v>영업부</x:v>
      </x:c>
      <x:c r="D8" s="25" t="str">
        <x:v>여</x:v>
      </x:c>
      <x:c r="E8" s="25" t="n">
        <x:v>26</x:v>
      </x:c>
      <x:c r="F8" s="26" t="n">
        <x:v>95</x:v>
      </x:c>
      <x:c r="G8" s="25" t="n">
        <x:v>3</x:v>
      </x:c>
      <x:c r="H8" s="25" t="str">
        <x:v>서울</x:v>
      </x:c>
      <x:c r="J8" s="13" t="n">
        <x:v>6</x:v>
      </x:c>
      <x:c r="K8" s="13" t="str">
        <x:v>근속연수 5년 이상 직원의 최저 점수</x:v>
      </x:c>
      <x:c r="L8" s="13" t="str">
        <x:v>T7:T8</x:v>
      </x:c>
      <x:c r="M8" s="21" t="str"/>
      <x:c r="O8" s="22" t="str">
        <x:v>기획부</x:v>
      </x:c>
      <x:c r="P8" s="22" t="str">
        <x:v>여</x:v>
      </x:c>
      <x:c r="Q8" s="22"/>
      <x:c r="R8" s="22" t="str">
        <x:v>영업부</x:v>
      </x:c>
      <x:c r="S8" s="22"/>
      <x:c r="T8" s="22" t="str">
        <x:v>&gt;=5</x:v>
      </x:c>
    </x:row>
    <x:row r="9">
      <x:c r="A9" s="25" t="n">
        <x:v>6</x:v>
      </x:c>
      <x:c r="B9" s="24" t="str">
        <x:v>한도윤</x:v>
      </x:c>
      <x:c r="C9" s="25" t="str">
        <x:v>개발부</x:v>
      </x:c>
      <x:c r="D9" s="25" t="str">
        <x:v>남</x:v>
      </x:c>
      <x:c r="E9" s="25" t="n">
        <x:v>42</x:v>
      </x:c>
      <x:c r="F9" s="26" t="n">
        <x:v>73</x:v>
      </x:c>
      <x:c r="G9" s="25" t="n">
        <x:v>12</x:v>
      </x:c>
      <x:c r="H9" s="25" t="str">
        <x:v>부산</x:v>
      </x:c>
      <x:c r="O9" s="22"/>
      <x:c r="P9" s="22"/>
      <x:c r="Q9" s="22"/>
      <x:c r="R9" s="22" t="str">
        <x:v>개발부</x:v>
      </x:c>
      <x:c r="S9" s="22"/>
      <x:c r="T9" s="22"/>
    </x:row>
    <x:row r="10">
      <x:c r="A10" s="25" t="n">
        <x:v>7</x:v>
      </x:c>
      <x:c r="B10" s="24" t="str">
        <x:v>윤아름</x:v>
      </x:c>
      <x:c r="C10" s="25" t="str">
        <x:v>기획부</x:v>
      </x:c>
      <x:c r="D10" s="25" t="str">
        <x:v>여</x:v>
      </x:c>
      <x:c r="E10" s="25" t="n">
        <x:v>38</x:v>
      </x:c>
      <x:c r="F10" s="26" t="n">
        <x:v>81</x:v>
      </x:c>
      <x:c r="G10" s="25" t="n">
        <x:v>9</x:v>
      </x:c>
      <x:c r="H10" s="25" t="str">
        <x:v>서울</x:v>
      </x:c>
    </x:row>
    <x:row r="11">
      <x:c r="A11" s="25" t="n">
        <x:v>8</x:v>
      </x:c>
      <x:c r="B11" s="24" t="str">
        <x:v>오세훈</x:v>
      </x:c>
      <x:c r="C11" s="25" t="str">
        <x:v>영업부</x:v>
      </x:c>
      <x:c r="D11" s="25" t="str">
        <x:v>남</x:v>
      </x:c>
      <x:c r="E11" s="25" t="n">
        <x:v>33</x:v>
      </x:c>
      <x:c r="F11" s="26" t="n">
        <x:v>90</x:v>
      </x:c>
      <x:c r="G11" s="25" t="n">
        <x:v>6</x:v>
      </x:c>
      <x:c r="H11" s="25" t="str">
        <x:v>대전</x:v>
      </x:c>
    </x:row>
    <x:row r="12">
      <x:c r="A12" s="25" t="n">
        <x:v>9</x:v>
      </x:c>
      <x:c r="B12" s="24" t="str">
        <x:v>강유진</x:v>
      </x:c>
      <x:c r="C12" s="25" t="str">
        <x:v>개발부</x:v>
      </x:c>
      <x:c r="D12" s="25" t="str">
        <x:v>여</x:v>
      </x:c>
      <x:c r="E12" s="25" t="n">
        <x:v>24</x:v>
      </x:c>
      <x:c r="F12" s="26" t="n">
        <x:v>84</x:v>
      </x:c>
      <x:c r="G12" s="25" t="n">
        <x:v>1</x:v>
      </x:c>
      <x:c r="H12" s="25" t="str">
        <x:v>서울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1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10" max="10" width="7" hidden="0" customWidth="1"/>
    <x:col min="11" max="11" width="15" hidden="0" customWidth="1"/>
    <x:col min="12" max="12" width="42" hidden="0" customWidth="1"/>
    <x:col min="13" max="13" width="12" hidden="0" customWidth="1"/>
  </x:cols>
  <x:sheetData>
    <x:row r="1" ht="30" customHeight="1">
      <x:c r="A1" s="4" t="str">
        <x:v>연습문제 정답 및 핵심 수식</x:v>
      </x:c>
      <x:c r="B1" s="4"/>
      <x:c r="C1" s="4"/>
      <x:c r="D1" s="4"/>
      <x:c r="E1" s="4"/>
      <x:c r="F1" s="4"/>
      <x:c r="G1" s="4"/>
      <x:c r="H1" s="4"/>
    </x:row>
    <x:row r="2">
      <x:c r="J2" s="15" t="str">
        <x:v>번호</x:v>
      </x:c>
      <x:c r="K2" s="15" t="str">
        <x:v>사용 함수</x:v>
      </x:c>
      <x:c r="L2" s="15" t="str">
        <x:v>정답 수식</x:v>
      </x:c>
      <x:c r="M2" s="15" t="str">
        <x:v>결과</x:v>
      </x:c>
    </x:row>
    <x:row r="3">
      <x:c r="A3" s="23" t="str">
        <x:v>번호</x:v>
      </x:c>
      <x:c r="B3" s="23" t="str">
        <x:v>이름</x:v>
      </x:c>
      <x:c r="C3" s="23" t="str">
        <x:v>부서</x:v>
      </x:c>
      <x:c r="D3" s="23" t="str">
        <x:v>성별</x:v>
      </x:c>
      <x:c r="E3" s="23" t="str">
        <x:v>나이</x:v>
      </x:c>
      <x:c r="F3" s="23" t="str">
        <x:v>점수</x:v>
      </x:c>
      <x:c r="G3" s="23" t="str">
        <x:v>근속연수</x:v>
      </x:c>
      <x:c r="H3" s="23" t="str">
        <x:v>지역</x:v>
      </x:c>
      <x:c r="J3" s="13" t="n">
        <x:v>1</x:v>
      </x:c>
      <x:c r="K3" s="13" t="str">
        <x:v>DAVERAGE</x:v>
      </x:c>
      <x:c r="L3" s="13" t="n">
        <x:f>DAVERAGE(A3:H12,"점수",O3:O4)</x:f>
        <x:v>81.66666666666667</x:v>
      </x:c>
      <x:c r="M3" s="18" t="n">
        <x:v>81.6666667</x:v>
      </x:c>
      <x:c r="O3" t="str">
        <x:v>부서</x:v>
      </x:c>
      <x:c r="Q3" t="str">
        <x:v>나이</x:v>
      </x:c>
      <x:c r="S3" t="str">
        <x:v>지역</x:v>
      </x:c>
    </x:row>
    <x:row r="4">
      <x:c r="A4" s="25" t="n">
        <x:v>1</x:v>
      </x:c>
      <x:c r="B4" s="24" t="str">
        <x:v>김민수</x:v>
      </x:c>
      <x:c r="C4" s="25" t="str">
        <x:v>영업부</x:v>
      </x:c>
      <x:c r="D4" s="25" t="str">
        <x:v>남</x:v>
      </x:c>
      <x:c r="E4" s="25" t="n">
        <x:v>27</x:v>
      </x:c>
      <x:c r="F4" s="26" t="n">
        <x:v>78</x:v>
      </x:c>
      <x:c r="G4" s="25" t="n">
        <x:v>2</x:v>
      </x:c>
      <x:c r="H4" s="25" t="str">
        <x:v>서울</x:v>
      </x:c>
      <x:c r="J4" s="13" t="n">
        <x:v>2</x:v>
      </x:c>
      <x:c r="K4" s="13" t="str">
        <x:v>DCOUNT</x:v>
      </x:c>
      <x:c r="L4" s="13" t="n">
        <x:f>DCOUNT(A3:H12,"나이",Q3:Q4)</x:f>
        <x:v>5</x:v>
      </x:c>
      <x:c r="M4" s="18" t="n">
        <x:v>5</x:v>
      </x:c>
      <x:c r="O4" t="str">
        <x:v>개발부</x:v>
      </x:c>
      <x:c r="Q4" t="str">
        <x:v>&gt;=30</x:v>
      </x:c>
      <x:c r="S4" t="str">
        <x:v>서울</x:v>
      </x:c>
    </x:row>
    <x:row r="5">
      <x:c r="A5" s="25" t="n">
        <x:v>2</x:v>
      </x:c>
      <x:c r="B5" s="24" t="str">
        <x:v>이서연</x:v>
      </x:c>
      <x:c r="C5" s="25" t="str">
        <x:v>기획부</x:v>
      </x:c>
      <x:c r="D5" s="25" t="str">
        <x:v>여</x:v>
      </x:c>
      <x:c r="E5" s="25" t="n">
        <x:v>31</x:v>
      </x:c>
      <x:c r="F5" s="26" t="n">
        <x:v>92</x:v>
      </x:c>
      <x:c r="G5" s="25" t="n">
        <x:v>5</x:v>
      </x:c>
      <x:c r="H5" s="25" t="str">
        <x:v>부산</x:v>
      </x:c>
      <x:c r="J5" s="13" t="n">
        <x:v>3</x:v>
      </x:c>
      <x:c r="K5" s="13" t="str">
        <x:v>DMAX</x:v>
      </x:c>
      <x:c r="L5" s="13" t="n">
        <x:f>DMAX(A3:H12,"점수",S3:S4)</x:f>
        <x:v>95</x:v>
      </x:c>
      <x:c r="M5" s="18" t="n">
        <x:v>95</x:v>
      </x:c>
    </x:row>
    <x:row r="6">
      <x:c r="A6" s="25" t="n">
        <x:v>3</x:v>
      </x:c>
      <x:c r="B6" s="24" t="str">
        <x:v>박준호</x:v>
      </x:c>
      <x:c r="C6" s="25" t="str">
        <x:v>영업부</x:v>
      </x:c>
      <x:c r="D6" s="25" t="str">
        <x:v>남</x:v>
      </x:c>
      <x:c r="E6" s="25" t="n">
        <x:v>35</x:v>
      </x:c>
      <x:c r="F6" s="26" t="n">
        <x:v>85</x:v>
      </x:c>
      <x:c r="G6" s="25" t="n">
        <x:v>7</x:v>
      </x:c>
      <x:c r="H6" s="25" t="str">
        <x:v>서울</x:v>
      </x:c>
      <x:c r="J6" s="13" t="n">
        <x:v>4</x:v>
      </x:c>
      <x:c r="K6" s="13" t="str">
        <x:v>DCOUNTA</x:v>
      </x:c>
      <x:c r="L6" s="13" t="n">
        <x:f>DCOUNTA(A3:H12,"이름",O7:P8)</x:f>
        <x:v>2</x:v>
      </x:c>
      <x:c r="M6" s="18" t="n">
        <x:v>2</x:v>
      </x:c>
    </x:row>
    <x:row r="7">
      <x:c r="A7" s="25" t="n">
        <x:v>4</x:v>
      </x:c>
      <x:c r="B7" s="24" t="str">
        <x:v>최지우</x:v>
      </x:c>
      <x:c r="C7" s="25" t="str">
        <x:v>개발부</x:v>
      </x:c>
      <x:c r="D7" s="25" t="str">
        <x:v>여</x:v>
      </x:c>
      <x:c r="E7" s="25" t="n">
        <x:v>29</x:v>
      </x:c>
      <x:c r="F7" s="26" t="n">
        <x:v>88</x:v>
      </x:c>
      <x:c r="G7" s="25" t="n">
        <x:v>4</x:v>
      </x:c>
      <x:c r="H7" s="25" t="str">
        <x:v>대전</x:v>
      </x:c>
      <x:c r="J7" s="13" t="n">
        <x:v>5</x:v>
      </x:c>
      <x:c r="K7" s="13" t="str">
        <x:v>DSUM</x:v>
      </x:c>
      <x:c r="L7" s="13" t="n">
        <x:f>DSUM(A3:H12,"점수",R7:R9)</x:f>
        <x:v>0</x:v>
      </x:c>
      <x:c r="M7" s="18" t="n">
        <x:v>593</x:v>
      </x:c>
      <x:c r="O7" t="str">
        <x:v>부서</x:v>
      </x:c>
      <x:c r="P7" t="str">
        <x:v>성별</x:v>
      </x:c>
      <x:c r="R7" t="str">
        <x:v>부서</x:v>
      </x:c>
      <x:c r="T7" t="str">
        <x:v>근속연수</x:v>
      </x:c>
    </x:row>
    <x:row r="8">
      <x:c r="A8" s="25" t="n">
        <x:v>5</x:v>
      </x:c>
      <x:c r="B8" s="24" t="str">
        <x:v>정하늘</x:v>
      </x:c>
      <x:c r="C8" s="25" t="str">
        <x:v>영업부</x:v>
      </x:c>
      <x:c r="D8" s="25" t="str">
        <x:v>여</x:v>
      </x:c>
      <x:c r="E8" s="25" t="n">
        <x:v>26</x:v>
      </x:c>
      <x:c r="F8" s="26" t="n">
        <x:v>95</x:v>
      </x:c>
      <x:c r="G8" s="25" t="n">
        <x:v>3</x:v>
      </x:c>
      <x:c r="H8" s="25" t="str">
        <x:v>서울</x:v>
      </x:c>
      <x:c r="J8" s="13" t="n">
        <x:v>6</x:v>
      </x:c>
      <x:c r="K8" s="13" t="str">
        <x:v>DMIN</x:v>
      </x:c>
      <x:c r="L8" s="13" t="n">
        <x:f>DMIN(A3:H12,"점수",T7:T8)</x:f>
        <x:v>73</x:v>
      </x:c>
      <x:c r="M8" s="18" t="n">
        <x:v>73</x:v>
      </x:c>
      <x:c r="O8" t="str">
        <x:v>기획부</x:v>
      </x:c>
      <x:c r="P8" t="str">
        <x:v>여</x:v>
      </x:c>
      <x:c r="R8" t="str">
        <x:v>영업부</x:v>
      </x:c>
      <x:c r="T8" t="str">
        <x:v>&gt;=5</x:v>
      </x:c>
    </x:row>
    <x:row r="9">
      <x:c r="A9" s="25" t="n">
        <x:v>6</x:v>
      </x:c>
      <x:c r="B9" s="24" t="str">
        <x:v>한도윤</x:v>
      </x:c>
      <x:c r="C9" s="25" t="str">
        <x:v>개발부</x:v>
      </x:c>
      <x:c r="D9" s="25" t="str">
        <x:v>남</x:v>
      </x:c>
      <x:c r="E9" s="25" t="n">
        <x:v>42</x:v>
      </x:c>
      <x:c r="F9" s="26" t="n">
        <x:v>73</x:v>
      </x:c>
      <x:c r="G9" s="25" t="n">
        <x:v>12</x:v>
      </x:c>
      <x:c r="H9" s="25" t="str">
        <x:v>부산</x:v>
      </x:c>
      <x:c r="R9" t="str">
        <x:v>개발부</x:v>
      </x:c>
    </x:row>
    <x:row r="10">
      <x:c r="A10" s="25" t="n">
        <x:v>7</x:v>
      </x:c>
      <x:c r="B10" s="24" t="str">
        <x:v>윤아름</x:v>
      </x:c>
      <x:c r="C10" s="25" t="str">
        <x:v>기획부</x:v>
      </x:c>
      <x:c r="D10" s="25" t="str">
        <x:v>여</x:v>
      </x:c>
      <x:c r="E10" s="25" t="n">
        <x:v>38</x:v>
      </x:c>
      <x:c r="F10" s="26" t="n">
        <x:v>81</x:v>
      </x:c>
      <x:c r="G10" s="25" t="n">
        <x:v>9</x:v>
      </x:c>
      <x:c r="H10" s="25" t="str">
        <x:v>서울</x:v>
      </x:c>
    </x:row>
    <x:row r="11">
      <x:c r="A11" s="25" t="n">
        <x:v>8</x:v>
      </x:c>
      <x:c r="B11" s="24" t="str">
        <x:v>오세훈</x:v>
      </x:c>
      <x:c r="C11" s="25" t="str">
        <x:v>영업부</x:v>
      </x:c>
      <x:c r="D11" s="25" t="str">
        <x:v>남</x:v>
      </x:c>
      <x:c r="E11" s="25" t="n">
        <x:v>33</x:v>
      </x:c>
      <x:c r="F11" s="26" t="n">
        <x:v>90</x:v>
      </x:c>
      <x:c r="G11" s="25" t="n">
        <x:v>6</x:v>
      </x:c>
      <x:c r="H11" s="25" t="str">
        <x:v>대전</x:v>
      </x:c>
    </x:row>
    <x:row r="12">
      <x:c r="A12" s="25" t="n">
        <x:v>9</x:v>
      </x:c>
      <x:c r="B12" s="24" t="str">
        <x:v>강유진</x:v>
      </x:c>
      <x:c r="C12" s="25" t="str">
        <x:v>개발부</x:v>
      </x:c>
      <x:c r="D12" s="25" t="str">
        <x:v>여</x:v>
      </x:c>
      <x:c r="E12" s="25" t="n">
        <x:v>24</x:v>
      </x:c>
      <x:c r="F12" s="26" t="n">
        <x:v>84</x:v>
      </x:c>
      <x:c r="G12" s="25" t="n">
        <x:v>1</x:v>
      </x:c>
      <x:c r="H12" s="25" t="str">
        <x:v>서울</x:v>
      </x:c>
    </x:row>
  </x:sheetData>
  <x:mergeCells>
    <x:mergeCell ref="A1:H1"/>
  </x:mergeCells>
  <x:pageMargins left="0.7" right="0.7" top="0.75" bottom="0.75" header="0.3" footer="0.3"/>
</x:worksheet>
</file>