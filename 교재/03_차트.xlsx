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mpUse2nd\교재\"/>
    </mc:Choice>
  </mc:AlternateContent>
  <xr:revisionPtr revIDLastSave="0" documentId="13_ncr:1_{93D2D9E2-15B0-4E3D-B172-356C7FDB7F63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차트-1" sheetId="6" r:id="rId1"/>
    <sheet name="정답" sheetId="5" r:id="rId2"/>
    <sheet name="차트-2" sheetId="1" r:id="rId3"/>
    <sheet name="정답2" sheetId="7" r:id="rId4"/>
    <sheet name="차트-3" sheetId="3" r:id="rId5"/>
    <sheet name="정답3" sheetId="8" r:id="rId6"/>
    <sheet name="차트-4" sheetId="4" r:id="rId7"/>
    <sheet name="정답4" sheetId="9" r:id="rId8"/>
  </sheets>
  <externalReferences>
    <externalReference r:id="rId9"/>
    <externalReference r:id="rId10"/>
  </externalReferences>
  <definedNames>
    <definedName name="HTML_CodePage" hidden="1">949</definedName>
    <definedName name="HTML_Control" localSheetId="0" hidden="1">{"'팬시점 판매현황(답)'!$B$11:$I$19"}</definedName>
    <definedName name="HTML_Control" hidden="1">{"'팬시점 판매현황(답)'!$B$11:$I$19"}</definedName>
    <definedName name="HTML_Description" hidden="1">""</definedName>
    <definedName name="HTML_Email" hidden="1">""</definedName>
    <definedName name="HTML_Header" hidden="1">""</definedName>
    <definedName name="HTML_LastUpdate" hidden="1">"01-03-11"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"C:\WINDOWS\바탕 화면\작업문서\합격다지기5회\합격다지기\1회\MyHTML.htm"</definedName>
    <definedName name="HTML_Title" hidden="1">""</definedName>
    <definedName name="구월" localSheetId="1">'[1]분석작업-2'!#REF!</definedName>
    <definedName name="구월" localSheetId="3">'[1]분석작업-2'!#REF!</definedName>
    <definedName name="구월" localSheetId="5">'[1]분석작업-2'!#REF!</definedName>
    <definedName name="구월" localSheetId="7">'[1]분석작업-2'!#REF!</definedName>
    <definedName name="구월" localSheetId="0">'[1]분석작업-2'!#REF!</definedName>
    <definedName name="구월">'[1]분석작업-2'!#REF!</definedName>
    <definedName name="나이">'[2]분석작업-1'!$C$3</definedName>
    <definedName name="성별">'[2]분석작업-1'!$C$4</definedName>
    <definedName name="월보험료">'[2]분석작업-1'!$D$7</definedName>
    <definedName name="칠월" localSheetId="1">'[1]분석작업-2'!#REF!</definedName>
    <definedName name="칠월" localSheetId="3">'[1]분석작업-2'!#REF!</definedName>
    <definedName name="칠월" localSheetId="5">'[1]분석작업-2'!#REF!</definedName>
    <definedName name="칠월" localSheetId="7">'[1]분석작업-2'!#REF!</definedName>
    <definedName name="칠월" localSheetId="0">'[1]분석작업-2'!#REF!</definedName>
    <definedName name="칠월">'[1]분석작업-2'!#REF!</definedName>
    <definedName name="특약">'[2]분석작업-1'!$C$6</definedName>
    <definedName name="팔월" localSheetId="1">'[1]분석작업-2'!#REF!</definedName>
    <definedName name="팔월" localSheetId="3">'[1]분석작업-2'!#REF!</definedName>
    <definedName name="팔월" localSheetId="5">'[1]분석작업-2'!#REF!</definedName>
    <definedName name="팔월" localSheetId="7">'[1]분석작업-2'!#REF!</definedName>
    <definedName name="팔월" localSheetId="0">'[1]분석작업-2'!#REF!</definedName>
    <definedName name="팔월">'[1]분석작업-2'!#REF!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9" l="1"/>
  <c r="F10" i="9" s="1"/>
  <c r="F9" i="9"/>
  <c r="E9" i="9"/>
  <c r="E8" i="9"/>
  <c r="F8" i="9" s="1"/>
  <c r="F7" i="9"/>
  <c r="E7" i="9"/>
  <c r="E6" i="9"/>
  <c r="F6" i="9" s="1"/>
  <c r="F5" i="9"/>
  <c r="E5" i="9"/>
  <c r="E4" i="9"/>
  <c r="F4" i="9" s="1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G11" i="3" l="1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E4" i="4" l="1"/>
  <c r="E8" i="4"/>
  <c r="F8" i="4" s="1"/>
  <c r="E9" i="4"/>
  <c r="F9" i="4" s="1"/>
  <c r="E10" i="4"/>
  <c r="F10" i="4" s="1"/>
  <c r="E5" i="4"/>
  <c r="F5" i="4" s="1"/>
  <c r="E7" i="4"/>
  <c r="F7" i="4" s="1"/>
  <c r="E6" i="4"/>
  <c r="F6" i="4" s="1"/>
  <c r="F4" i="4" l="1"/>
</calcChain>
</file>

<file path=xl/sharedStrings.xml><?xml version="1.0" encoding="utf-8"?>
<sst xmlns="http://schemas.openxmlformats.org/spreadsheetml/2006/main" count="142" uniqueCount="94">
  <si>
    <t>(단위:천명, %)</t>
    <phoneticPr fontId="4" type="noConversion"/>
  </si>
  <si>
    <t>항목</t>
    <phoneticPr fontId="3" type="noConversion"/>
  </si>
  <si>
    <t>2019년</t>
  </si>
  <si>
    <t>서비스이용자수</t>
    <phoneticPr fontId="4" type="noConversion"/>
  </si>
  <si>
    <t>서비스이용률</t>
    <phoneticPr fontId="4" type="noConversion"/>
  </si>
  <si>
    <t>서비스가입자수</t>
    <phoneticPr fontId="4" type="noConversion"/>
  </si>
  <si>
    <t>2018년</t>
    <phoneticPr fontId="3" type="noConversion"/>
  </si>
  <si>
    <t>2020년</t>
  </si>
  <si>
    <t>2021년</t>
  </si>
  <si>
    <t>전자상거래 규모</t>
    <phoneticPr fontId="5" type="noConversion"/>
  </si>
  <si>
    <t>(단위 : 십억원)</t>
    <phoneticPr fontId="5" type="noConversion"/>
  </si>
  <si>
    <t>구분</t>
    <phoneticPr fontId="3" type="noConversion"/>
  </si>
  <si>
    <t>4/4분기</t>
    <phoneticPr fontId="5" type="noConversion"/>
  </si>
  <si>
    <t>3/4분기</t>
    <phoneticPr fontId="5" type="noConversion"/>
  </si>
  <si>
    <t>2/4분기</t>
    <phoneticPr fontId="5" type="noConversion"/>
  </si>
  <si>
    <t>1/4분기</t>
    <phoneticPr fontId="5" type="noConversion"/>
  </si>
  <si>
    <t>B2B</t>
    <phoneticPr fontId="3" type="noConversion"/>
  </si>
  <si>
    <t>B2G</t>
    <phoneticPr fontId="3" type="noConversion"/>
  </si>
  <si>
    <t>B2C</t>
    <phoneticPr fontId="3" type="noConversion"/>
  </si>
  <si>
    <t>C2C</t>
    <phoneticPr fontId="3" type="noConversion"/>
  </si>
  <si>
    <t>생활용품 판매현황</t>
    <phoneticPr fontId="4" type="noConversion"/>
  </si>
  <si>
    <t>제품명</t>
    <phoneticPr fontId="4" type="noConversion"/>
  </si>
  <si>
    <t>수량</t>
    <phoneticPr fontId="4" type="noConversion"/>
  </si>
  <si>
    <t>단가</t>
    <phoneticPr fontId="4" type="noConversion"/>
  </si>
  <si>
    <t>판매금액</t>
    <phoneticPr fontId="4" type="noConversion"/>
  </si>
  <si>
    <t>이익금액</t>
    <phoneticPr fontId="4" type="noConversion"/>
  </si>
  <si>
    <t>고객서비스현황</t>
    <phoneticPr fontId="3" type="noConversion"/>
  </si>
  <si>
    <t>문구 판매현황</t>
    <phoneticPr fontId="4" type="noConversion"/>
  </si>
  <si>
    <t>액자</t>
    <phoneticPr fontId="4" type="noConversion"/>
  </si>
  <si>
    <t>화분</t>
    <phoneticPr fontId="4" type="noConversion"/>
  </si>
  <si>
    <t>가습기</t>
    <phoneticPr fontId="4" type="noConversion"/>
  </si>
  <si>
    <t>스탠드</t>
    <phoneticPr fontId="4" type="noConversion"/>
  </si>
  <si>
    <t>건조대</t>
    <phoneticPr fontId="4" type="noConversion"/>
  </si>
  <si>
    <t>주방저울</t>
    <phoneticPr fontId="4" type="noConversion"/>
  </si>
  <si>
    <t>운동기구</t>
    <phoneticPr fontId="4" type="noConversion"/>
  </si>
  <si>
    <t>품목</t>
    <phoneticPr fontId="4" type="noConversion"/>
  </si>
  <si>
    <t>판매가</t>
    <phoneticPr fontId="4" type="noConversion"/>
  </si>
  <si>
    <t>목표량</t>
    <phoneticPr fontId="4" type="noConversion"/>
  </si>
  <si>
    <t>판매량</t>
    <phoneticPr fontId="4" type="noConversion"/>
  </si>
  <si>
    <t>달성율</t>
    <phoneticPr fontId="4" type="noConversion"/>
  </si>
  <si>
    <t>판매총액</t>
    <phoneticPr fontId="4" type="noConversion"/>
  </si>
  <si>
    <t>노트</t>
    <phoneticPr fontId="4" type="noConversion"/>
  </si>
  <si>
    <t>연필</t>
    <phoneticPr fontId="4" type="noConversion"/>
  </si>
  <si>
    <t>매직</t>
    <phoneticPr fontId="4" type="noConversion"/>
  </si>
  <si>
    <t>잉크</t>
    <phoneticPr fontId="4" type="noConversion"/>
  </si>
  <si>
    <t>파일</t>
    <phoneticPr fontId="4" type="noConversion"/>
  </si>
  <si>
    <t>사이펜</t>
    <phoneticPr fontId="4" type="noConversion"/>
  </si>
  <si>
    <t>지우개</t>
    <phoneticPr fontId="4" type="noConversion"/>
  </si>
  <si>
    <t>수정액</t>
    <phoneticPr fontId="4" type="noConversion"/>
  </si>
  <si>
    <t>구분</t>
    <phoneticPr fontId="3" type="noConversion"/>
  </si>
  <si>
    <t>1. B2B만 ‘표식이 있는 꺾은선형 + 보조축’으로 변경</t>
  </si>
  <si>
    <r>
      <t xml:space="preserve">1. 차트에서 </t>
    </r>
    <r>
      <rPr>
        <b/>
        <sz val="11"/>
        <color theme="1"/>
        <rFont val="맑은 고딕"/>
        <family val="3"/>
        <charset val="129"/>
        <scheme val="minor"/>
      </rPr>
      <t>파란색 B2B 막대 하나</t>
    </r>
    <r>
      <rPr>
        <sz val="11"/>
        <color theme="1"/>
        <rFont val="맑은 고딕"/>
        <family val="2"/>
        <charset val="129"/>
        <scheme val="minor"/>
      </rPr>
      <t>를 클릭합니다.</t>
    </r>
  </si>
  <si>
    <t>→ 파란색 막대 4개가 모두 선택되어야 합니다.</t>
  </si>
  <si>
    <r>
      <t xml:space="preserve">2. 마우스 오른쪽 버튼 → </t>
    </r>
    <r>
      <rPr>
        <b/>
        <sz val="11"/>
        <color theme="1"/>
        <rFont val="맑은 고딕"/>
        <family val="3"/>
        <charset val="129"/>
        <scheme val="minor"/>
      </rPr>
      <t>계열 차트 종류 변경</t>
    </r>
  </si>
  <si>
    <r>
      <t>3. 차트 종류 변경</t>
    </r>
    <r>
      <rPr>
        <sz val="11"/>
        <color theme="1"/>
        <rFont val="맑은 고딕"/>
        <family val="2"/>
        <charset val="129"/>
        <scheme val="minor"/>
      </rPr>
      <t xml:space="preserve"> 창에서 </t>
    </r>
    <r>
      <rPr>
        <b/>
        <sz val="11"/>
        <color theme="1"/>
        <rFont val="맑은 고딕"/>
        <family val="3"/>
        <charset val="129"/>
        <scheme val="minor"/>
      </rPr>
      <t>콤보</t>
    </r>
    <r>
      <rPr>
        <sz val="11"/>
        <color theme="1"/>
        <rFont val="맑은 고딕"/>
        <family val="2"/>
        <charset val="129"/>
        <scheme val="minor"/>
      </rPr>
      <t>를 선택합니다.</t>
    </r>
  </si>
  <si>
    <t>4. B2B 행을 다음과 같이 설정합니다.</t>
  </si>
  <si>
    <r>
      <t xml:space="preserve">차트 종류: </t>
    </r>
    <r>
      <rPr>
        <b/>
        <sz val="11"/>
        <color theme="1"/>
        <rFont val="맑은 고딕"/>
        <family val="3"/>
        <charset val="129"/>
        <scheme val="minor"/>
      </rPr>
      <t>표식이 있는 꺾은선형</t>
    </r>
  </si>
  <si>
    <r>
      <t xml:space="preserve">오른쪽의 </t>
    </r>
    <r>
      <rPr>
        <b/>
        <sz val="11"/>
        <color theme="1"/>
        <rFont val="맑은 고딕"/>
        <family val="3"/>
        <charset val="129"/>
        <scheme val="minor"/>
      </rPr>
      <t>보조 축</t>
    </r>
    <r>
      <rPr>
        <sz val="11"/>
        <color theme="1"/>
        <rFont val="맑은 고딕"/>
        <family val="2"/>
        <charset val="129"/>
        <scheme val="minor"/>
      </rPr>
      <t xml:space="preserve"> 체크</t>
    </r>
  </si>
  <si>
    <t>5. 확인</t>
  </si>
  <si>
    <t>2. 차트 제목 넣기</t>
  </si>
  <si>
    <t>1. 차트를 클릭합니다.</t>
  </si>
  <si>
    <r>
      <t xml:space="preserve">2. 차트 오른쪽 위의 </t>
    </r>
    <r>
      <rPr>
        <b/>
        <sz val="10"/>
        <color theme="1"/>
        <rFont val="Arial Unicode MS"/>
        <family val="2"/>
      </rPr>
      <t>+</t>
    </r>
    <r>
      <rPr>
        <b/>
        <sz val="11"/>
        <color theme="1"/>
        <rFont val="맑은 고딕"/>
        <family val="3"/>
        <charset val="129"/>
        <scheme val="minor"/>
      </rPr>
      <t xml:space="preserve"> 단추(차트 요소)</t>
    </r>
    <r>
      <rPr>
        <sz val="11"/>
        <color theme="1"/>
        <rFont val="맑은 고딕"/>
        <family val="2"/>
        <charset val="129"/>
        <scheme val="minor"/>
      </rPr>
      <t xml:space="preserve"> 클릭</t>
    </r>
  </si>
  <si>
    <r>
      <t>3. 차트 제목</t>
    </r>
    <r>
      <rPr>
        <sz val="11"/>
        <color theme="1"/>
        <rFont val="맑은 고딕"/>
        <family val="2"/>
        <charset val="129"/>
        <scheme val="minor"/>
      </rPr>
      <t xml:space="preserve"> 체크</t>
    </r>
  </si>
  <si>
    <t>4. 차트 위에 생긴 제목 상자를 클릭하고 다음 내용을 입력합니다.</t>
  </si>
  <si>
    <t>전자상거래 규모</t>
  </si>
  <si>
    <r>
      <t xml:space="preserve">5. 제목을 드래그하여 선택한 뒤 </t>
    </r>
    <r>
      <rPr>
        <b/>
        <sz val="11"/>
        <color theme="1"/>
        <rFont val="맑은 고딕"/>
        <family val="3"/>
        <charset val="129"/>
        <scheme val="minor"/>
      </rPr>
      <t>홈 탭 → 글꼴 크기 14pt</t>
    </r>
    <r>
      <rPr>
        <sz val="11"/>
        <color theme="1"/>
        <rFont val="맑은 고딕"/>
        <family val="2"/>
        <charset val="129"/>
        <scheme val="minor"/>
      </rPr>
      <t>로 설정합니다.</t>
    </r>
  </si>
  <si>
    <t>3. C2C의 1/4분기 값에만 데이터 레이블 추가</t>
  </si>
  <si>
    <r>
      <t xml:space="preserve">오른쪽 끝의 아주 작은 </t>
    </r>
    <r>
      <rPr>
        <b/>
        <sz val="11"/>
        <color theme="1"/>
        <rFont val="맑은 고딕"/>
        <family val="3"/>
        <charset val="129"/>
        <scheme val="minor"/>
      </rPr>
      <t>노란색 막대</t>
    </r>
    <r>
      <rPr>
        <sz val="11"/>
        <color theme="1"/>
        <rFont val="맑은 고딕"/>
        <family val="2"/>
        <charset val="129"/>
        <scheme val="minor"/>
      </rPr>
      <t>가 C2C의 1/4분기 값입니다.</t>
    </r>
  </si>
  <si>
    <t>1. 노란색 막대 중 아무거나 한 번 클릭</t>
  </si>
  <si>
    <t>→ 노란색 막대 4개가 모두 선택됩니다.</t>
  </si>
  <si>
    <r>
      <t xml:space="preserve">2. 오른쪽 끝 </t>
    </r>
    <r>
      <rPr>
        <b/>
        <sz val="11"/>
        <color theme="1"/>
        <rFont val="맑은 고딕"/>
        <family val="3"/>
        <charset val="129"/>
        <scheme val="minor"/>
      </rPr>
      <t>1/4분기 노란색 막대만 다시 한 번 클릭</t>
    </r>
  </si>
  <si>
    <t>→ 해당 막대 하나만 선택되어야 합니다.</t>
  </si>
  <si>
    <r>
      <t xml:space="preserve">3. 마우스 오른쪽 버튼 → </t>
    </r>
    <r>
      <rPr>
        <b/>
        <sz val="11"/>
        <color theme="1"/>
        <rFont val="맑은 고딕"/>
        <family val="3"/>
        <charset val="129"/>
        <scheme val="minor"/>
      </rPr>
      <t>데이터 레이블 추가</t>
    </r>
  </si>
  <si>
    <t>4. 만들어진 숫자 레이블을 마우스 오른쪽 버튼으로 클릭</t>
  </si>
  <si>
    <t>5. 데이터 레이블 서식</t>
  </si>
  <si>
    <r>
      <t xml:space="preserve">6. 오른쪽 창의 </t>
    </r>
    <r>
      <rPr>
        <sz val="10"/>
        <color theme="1"/>
        <rFont val="Arial Unicode MS"/>
        <family val="2"/>
      </rPr>
      <t>레이블 옵션</t>
    </r>
    <r>
      <rPr>
        <sz val="11"/>
        <color theme="1"/>
        <rFont val="맑은 고딕"/>
        <family val="2"/>
        <charset val="129"/>
        <scheme val="minor"/>
      </rPr>
      <t xml:space="preserve">에서 위치를 </t>
    </r>
    <r>
      <rPr>
        <b/>
        <sz val="11"/>
        <color theme="1"/>
        <rFont val="맑은 고딕"/>
        <family val="3"/>
        <charset val="129"/>
        <scheme val="minor"/>
      </rPr>
      <t>바깥쪽 끝에</t>
    </r>
    <r>
      <rPr>
        <sz val="11"/>
        <color theme="1"/>
        <rFont val="맑은 고딕"/>
        <family val="2"/>
        <charset val="129"/>
        <scheme val="minor"/>
      </rPr>
      <t>로 설정합니다.</t>
    </r>
  </si>
  <si>
    <r>
      <t xml:space="preserve">최종적으로 </t>
    </r>
    <r>
      <rPr>
        <sz val="10"/>
        <color theme="1"/>
        <rFont val="Arial Unicode MS"/>
        <family val="2"/>
      </rPr>
      <t>3,093</t>
    </r>
    <r>
      <rPr>
        <sz val="11"/>
        <color theme="1"/>
        <rFont val="맑은 고딕"/>
        <family val="2"/>
        <charset val="129"/>
        <scheme val="minor"/>
      </rPr>
      <t>이라는 값만 표시됩니다.</t>
    </r>
  </si>
  <si>
    <t>4. 범례 위치와 색상 변경</t>
  </si>
  <si>
    <t>범례를 위쪽으로 이동</t>
  </si>
  <si>
    <t>1. 차트 오른쪽의 범례 부분을 클릭합니다.</t>
  </si>
  <si>
    <r>
      <t xml:space="preserve">2. 마우스 오른쪽 버튼 → </t>
    </r>
    <r>
      <rPr>
        <b/>
        <sz val="11"/>
        <color theme="1"/>
        <rFont val="맑은 고딕"/>
        <family val="3"/>
        <charset val="129"/>
        <scheme val="minor"/>
      </rPr>
      <t>범례 서식</t>
    </r>
  </si>
  <si>
    <r>
      <t xml:space="preserve">3. 오른쪽 서식 창에서 </t>
    </r>
    <r>
      <rPr>
        <sz val="10"/>
        <color theme="1"/>
        <rFont val="Arial Unicode MS"/>
        <family val="2"/>
      </rPr>
      <t>범례 옵션</t>
    </r>
    <r>
      <rPr>
        <sz val="11"/>
        <color theme="1"/>
        <rFont val="맑은 고딕"/>
        <family val="2"/>
        <charset val="129"/>
        <scheme val="minor"/>
      </rPr>
      <t xml:space="preserve"> 선택</t>
    </r>
  </si>
  <si>
    <r>
      <t xml:space="preserve">4. 범례 위치를 </t>
    </r>
    <r>
      <rPr>
        <b/>
        <sz val="11"/>
        <color theme="1"/>
        <rFont val="맑은 고딕"/>
        <family val="3"/>
        <charset val="129"/>
        <scheme val="minor"/>
      </rPr>
      <t>위쪽</t>
    </r>
    <r>
      <rPr>
        <sz val="11"/>
        <color theme="1"/>
        <rFont val="맑은 고딕"/>
        <family val="2"/>
        <charset val="129"/>
        <scheme val="minor"/>
      </rPr>
      <t>으로 변경합니다.</t>
    </r>
  </si>
  <si>
    <r>
      <t xml:space="preserve">또는 차트 오른쪽의 </t>
    </r>
    <r>
      <rPr>
        <sz val="10"/>
        <color theme="1"/>
        <rFont val="Arial Unicode MS"/>
        <family val="2"/>
      </rPr>
      <t>+</t>
    </r>
    <r>
      <rPr>
        <sz val="11"/>
        <color theme="1"/>
        <rFont val="맑은 고딕"/>
        <family val="2"/>
        <charset val="129"/>
        <scheme val="minor"/>
      </rPr>
      <t xml:space="preserve"> 버튼 → 범례 오른쪽 화살표 → </t>
    </r>
    <r>
      <rPr>
        <b/>
        <sz val="11"/>
        <color theme="1"/>
        <rFont val="맑은 고딕"/>
        <family val="3"/>
        <charset val="129"/>
        <scheme val="minor"/>
      </rPr>
      <t>위쪽</t>
    </r>
    <r>
      <rPr>
        <sz val="11"/>
        <color theme="1"/>
        <rFont val="맑은 고딕"/>
        <family val="2"/>
        <charset val="129"/>
        <scheme val="minor"/>
      </rPr>
      <t>을 선택해도 됩니다.</t>
    </r>
  </si>
  <si>
    <t>범례 배경색 변경</t>
  </si>
  <si>
    <r>
      <t xml:space="preserve">1. 범례가 선택된 상태에서 오른쪽 </t>
    </r>
    <r>
      <rPr>
        <sz val="10"/>
        <color theme="1"/>
        <rFont val="Arial Unicode MS"/>
        <family val="2"/>
      </rPr>
      <t>범례 서식</t>
    </r>
    <r>
      <rPr>
        <sz val="11"/>
        <color theme="1"/>
        <rFont val="맑은 고딕"/>
        <family val="2"/>
        <charset val="129"/>
        <scheme val="minor"/>
      </rPr>
      <t xml:space="preserve"> 창의 </t>
    </r>
    <r>
      <rPr>
        <b/>
        <sz val="11"/>
        <color theme="1"/>
        <rFont val="맑은 고딕"/>
        <family val="3"/>
        <charset val="129"/>
        <scheme val="minor"/>
      </rPr>
      <t>채우기 및 선</t>
    </r>
    <r>
      <rPr>
        <sz val="11"/>
        <color theme="1"/>
        <rFont val="맑은 고딕"/>
        <family val="2"/>
        <charset val="129"/>
        <scheme val="minor"/>
      </rPr>
      <t xml:space="preserve"> 아이콘을 선택합니다.</t>
    </r>
  </si>
  <si>
    <r>
      <t>2. 채우기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b/>
        <sz val="11"/>
        <color theme="1"/>
        <rFont val="맑은 고딕"/>
        <family val="3"/>
        <charset val="129"/>
        <scheme val="minor"/>
      </rPr>
      <t>단색 채우기</t>
    </r>
  </si>
  <si>
    <r>
      <t xml:space="preserve">3. 색 → 테마 색에서 </t>
    </r>
    <r>
      <rPr>
        <b/>
        <sz val="11"/>
        <color theme="1"/>
        <rFont val="맑은 고딕"/>
        <family val="3"/>
        <charset val="129"/>
        <scheme val="minor"/>
      </rPr>
      <t>청록, 강조 5</t>
    </r>
    <r>
      <rPr>
        <sz val="11"/>
        <color theme="1"/>
        <rFont val="맑은 고딕"/>
        <family val="2"/>
        <charset val="129"/>
        <scheme val="minor"/>
      </rPr>
      <t>를 선택합니다.</t>
    </r>
  </si>
  <si>
    <r>
      <t xml:space="preserve">색상표에서 보통 </t>
    </r>
    <r>
      <rPr>
        <b/>
        <sz val="11"/>
        <color theme="1"/>
        <rFont val="맑은 고딕"/>
        <family val="3"/>
        <charset val="129"/>
        <scheme val="minor"/>
      </rPr>
      <t>청록색 계열의 ‘강조 5’ 기본색</t>
    </r>
    <r>
      <rPr>
        <sz val="11"/>
        <color theme="1"/>
        <rFont val="맑은 고딕"/>
        <family val="2"/>
        <charset val="129"/>
        <scheme val="minor"/>
      </rPr>
      <t>을 선택하면 됩니다.</t>
    </r>
  </si>
  <si>
    <t>이건 필요한 경우만</t>
    <phoneticPr fontId="3" type="noConversion"/>
  </si>
  <si>
    <t>4. 차트 제목을 B1 셀과 연결</t>
  </si>
  <si>
    <t>차트 제목 수식에 = 쓰고 b1셀 클릭후 엔터</t>
    <phoneticPr fontId="3" type="noConversion"/>
  </si>
  <si>
    <t>우클릭-&gt;축서식</t>
    <phoneticPr fontId="3" type="noConversion"/>
  </si>
  <si>
    <t>데이터 우클릭-&gt;데이터레이블 서식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</si>
</sst>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0.0"/>
    <numFmt numFmtId="177" formatCode="#,##0_ "/>
    <numFmt numFmtId="178" formatCode="#,##0_);[Red]\(#,##0\)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3.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2" fillId="0" borderId="0" xfId="2" applyFont="1">
      <alignment vertical="center"/>
    </xf>
    <xf numFmtId="0" fontId="7" fillId="0" borderId="0" xfId="2" applyFont="1">
      <alignment vertical="center"/>
    </xf>
    <xf numFmtId="0" fontId="2" fillId="0" borderId="1" xfId="2" applyFont="1" applyBorder="1" applyAlignment="1">
      <alignment horizontal="center" vertical="center"/>
    </xf>
    <xf numFmtId="177" fontId="2" fillId="0" borderId="1" xfId="3" applyNumberFormat="1" applyFont="1" applyFill="1" applyBorder="1" applyAlignment="1">
      <alignment horizontal="right" vertical="center"/>
    </xf>
    <xf numFmtId="178" fontId="2" fillId="0" borderId="1" xfId="3" applyNumberFormat="1" applyFont="1" applyFill="1" applyBorder="1" applyAlignment="1">
      <alignment horizontal="right" vertical="center"/>
    </xf>
    <xf numFmtId="9" fontId="8" fillId="0" borderId="1" xfId="4" applyFont="1" applyFill="1" applyBorder="1" applyAlignment="1">
      <alignment horizontal="right" vertical="center"/>
    </xf>
    <xf numFmtId="0" fontId="9" fillId="0" borderId="0" xfId="0" applyFont="1">
      <alignment vertical="center"/>
    </xf>
    <xf numFmtId="0" fontId="2" fillId="0" borderId="0" xfId="6" applyFont="1"/>
    <xf numFmtId="0" fontId="2" fillId="0" borderId="1" xfId="6" applyFont="1" applyBorder="1" applyAlignment="1">
      <alignment horizontal="center"/>
    </xf>
    <xf numFmtId="41" fontId="2" fillId="0" borderId="1" xfId="1" applyFont="1" applyBorder="1" applyAlignment="1">
      <alignment horizontal="right"/>
    </xf>
    <xf numFmtId="0" fontId="7" fillId="0" borderId="0" xfId="6" applyFont="1"/>
    <xf numFmtId="41" fontId="2" fillId="0" borderId="1" xfId="1" applyFont="1" applyFill="1" applyBorder="1" applyAlignme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9" fillId="0" borderId="0" xfId="0" applyFont="1" applyAlignment="1">
      <alignment horizontal="left" vertical="center" indent="1"/>
    </xf>
    <xf numFmtId="0" fontId="14" fillId="0" borderId="0" xfId="0" applyFont="1">
      <alignment vertical="center"/>
    </xf>
  </cellXfs>
  <cellStyles count="9">
    <cellStyle name="백분율 2" xfId="4" xr:uid="{00000000-0005-0000-0000-000000000000}"/>
    <cellStyle name="백분율 3" xfId="8" xr:uid="{00000000-0005-0000-0000-000001000000}"/>
    <cellStyle name="쉼표 [0]" xfId="1" builtinId="6"/>
    <cellStyle name="쉼표 [0] 2" xfId="3" xr:uid="{00000000-0005-0000-0000-000003000000}"/>
    <cellStyle name="쉼표 [0] 3" xfId="7" xr:uid="{00000000-0005-0000-0000-000004000000}"/>
    <cellStyle name="통화 [0] 2" xfId="5" xr:uid="{00000000-0005-0000-0000-000005000000}"/>
    <cellStyle name="표준" xfId="0" builtinId="0"/>
    <cellStyle name="표준 2" xfId="2" xr:uid="{00000000-0005-0000-0000-000007000000}"/>
    <cellStyle name="표준 3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'차트-1'!$B$4</c:f>
              <c:strCache>
                <c:ptCount val="1"/>
                <c:pt idx="0">
                  <c:v>B2B</c:v>
                </c:pt>
              </c:strCache>
            </c:strRef>
          </c:tx>
          <c:invertIfNegative val="0"/>
          <c:cat>
            <c:strRef>
              <c:f>'차트-1'!$C$3:$F$3</c:f>
              <c:strCache>
                <c:ptCount val="4"/>
                <c:pt idx="0">
                  <c:v>4/4분기</c:v>
                </c:pt>
                <c:pt idx="1">
                  <c:v>3/4분기</c:v>
                </c:pt>
                <c:pt idx="2">
                  <c:v>2/4분기</c:v>
                </c:pt>
                <c:pt idx="3">
                  <c:v>1/4분기</c:v>
                </c:pt>
              </c:strCache>
            </c:strRef>
          </c:cat>
          <c:val>
            <c:numRef>
              <c:f>'차트-1'!$C$4:$F$4</c:f>
              <c:numCache>
                <c:formatCode>#,##0</c:formatCode>
                <c:ptCount val="4"/>
                <c:pt idx="0">
                  <c:v>279308</c:v>
                </c:pt>
                <c:pt idx="1">
                  <c:v>271046</c:v>
                </c:pt>
                <c:pt idx="2">
                  <c:v>280975</c:v>
                </c:pt>
                <c:pt idx="3">
                  <c:v>264368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D-4890-8C7F-248F4346C10E}"/>
            </c:ext>
          </c:extLst>
        </c:ser>
        <c:ser>
          <c:idx val="1"/>
          <c:order val="1"/>
          <c:tx>
            <c:strRef>
              <c:f>'차트-1'!$B$5</c:f>
              <c:strCache>
                <c:ptCount val="1"/>
                <c:pt idx="0">
                  <c:v>B2G</c:v>
                </c:pt>
              </c:strCache>
            </c:strRef>
          </c:tx>
          <c:invertIfNegative val="0"/>
          <c:cat>
            <c:strRef>
              <c:f>'차트-1'!$C$3:$F$3</c:f>
              <c:strCache>
                <c:ptCount val="4"/>
                <c:pt idx="0">
                  <c:v>4/4분기</c:v>
                </c:pt>
                <c:pt idx="1">
                  <c:v>3/4분기</c:v>
                </c:pt>
                <c:pt idx="2">
                  <c:v>2/4분기</c:v>
                </c:pt>
                <c:pt idx="3">
                  <c:v>1/4분기</c:v>
                </c:pt>
              </c:strCache>
            </c:strRef>
          </c:cat>
          <c:val>
            <c:numRef>
              <c:f>'차트-1'!$C$5:$F$5</c:f>
              <c:numCache>
                <c:formatCode>#,##0</c:formatCode>
                <c:ptCount val="4"/>
                <c:pt idx="0">
                  <c:v>26318</c:v>
                </c:pt>
                <c:pt idx="1">
                  <c:v>11934</c:v>
                </c:pt>
                <c:pt idx="2">
                  <c:v>18696</c:v>
                </c:pt>
                <c:pt idx="3">
                  <c:v>13701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D-4890-8C7F-248F4346C10E}"/>
            </c:ext>
          </c:extLst>
        </c:ser>
        <c:ser>
          <c:idx val="2"/>
          <c:order val="2"/>
          <c:tx>
            <c:strRef>
              <c:f>'차트-1'!$B$6</c:f>
              <c:strCache>
                <c:ptCount val="1"/>
                <c:pt idx="0">
                  <c:v>B2C</c:v>
                </c:pt>
              </c:strCache>
            </c:strRef>
          </c:tx>
          <c:invertIfNegative val="0"/>
          <c:cat>
            <c:strRef>
              <c:f>'차트-1'!$C$3:$F$3</c:f>
              <c:strCache>
                <c:ptCount val="4"/>
                <c:pt idx="0">
                  <c:v>4/4분기</c:v>
                </c:pt>
                <c:pt idx="1">
                  <c:v>3/4분기</c:v>
                </c:pt>
                <c:pt idx="2">
                  <c:v>2/4분기</c:v>
                </c:pt>
                <c:pt idx="3">
                  <c:v>1/4분기</c:v>
                </c:pt>
              </c:strCache>
            </c:strRef>
          </c:cat>
          <c:val>
            <c:numRef>
              <c:f>'차트-1'!$C$6:$F$6</c:f>
              <c:numCache>
                <c:formatCode>#,##0</c:formatCode>
                <c:ptCount val="4"/>
                <c:pt idx="0">
                  <c:v>6746</c:v>
                </c:pt>
                <c:pt idx="1">
                  <c:v>6120</c:v>
                </c:pt>
                <c:pt idx="2">
                  <c:v>5754</c:v>
                </c:pt>
                <c:pt idx="3">
                  <c:v>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4D-4890-8C7F-248F4346C10E}"/>
            </c:ext>
          </c:extLst>
        </c:ser>
        <c:ser>
          <c:idx val="3"/>
          <c:order val="3"/>
          <c:tx>
            <c:strRef>
              <c:f>'차트-1'!$B$7</c:f>
              <c:strCache>
                <c:ptCount val="1"/>
                <c:pt idx="0">
                  <c:v>C2C</c:v>
                </c:pt>
              </c:strCache>
            </c:strRef>
          </c:tx>
          <c:invertIfNegative val="0"/>
          <c:cat>
            <c:strRef>
              <c:f>'차트-1'!$C$3:$F$3</c:f>
              <c:strCache>
                <c:ptCount val="4"/>
                <c:pt idx="0">
                  <c:v>4/4분기</c:v>
                </c:pt>
                <c:pt idx="1">
                  <c:v>3/4분기</c:v>
                </c:pt>
                <c:pt idx="2">
                  <c:v>2/4분기</c:v>
                </c:pt>
                <c:pt idx="3">
                  <c:v>1/4분기</c:v>
                </c:pt>
              </c:strCache>
            </c:strRef>
          </c:cat>
          <c:val>
            <c:numRef>
              <c:f>'차트-1'!$C$7:$F$7</c:f>
              <c:numCache>
                <c:formatCode>#,##0</c:formatCode>
                <c:ptCount val="4"/>
                <c:pt idx="0">
                  <c:v>3662</c:v>
                </c:pt>
                <c:pt idx="1">
                  <c:v>3341</c:v>
                </c:pt>
                <c:pt idx="2">
                  <c:v>3318</c:v>
                </c:pt>
                <c:pt idx="3">
                  <c:v>3093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4D-4890-8C7F-248F4346C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301056"/>
        <c:axId val="100323328"/>
      </c:barChart>
      <c:catAx>
        <c:axId val="100301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0323328"/>
        <c:crosses val="autoZero"/>
        <c:auto val="1"/>
        <c:lblAlgn val="ctr"/>
        <c:lblOffset val="100"/>
        <c:noMultiLvlLbl val="0"/>
      </c:catAx>
      <c:valAx>
        <c:axId val="1003233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0301056"/>
        <c:crosses val="autoZero"/>
        <c:crossBetween val="between"/>
      </c:valAx>
    </c:plotArea>
    <c:legend>
      <c:legendPos val="r"/>
      <c:overlay val="0"/>
      <c:spPr>
        <a:solidFill>
          <a:schemeClr val="lt1"/>
        </a:solidFill>
        <a:ln w="12700" cap="flat" cmpd="sng" algn="ctr">
          <a:solidFill>
            <a:schemeClr val="accent5"/>
          </a:solidFill>
          <a:prstDash val="solid"/>
          <a:miter lim="800000"/>
        </a:ln>
        <a:effectLst/>
      </c:spPr>
      <c:txPr>
        <a:bodyPr/>
        <a:lstStyle/>
        <a:p>
          <a:pPr>
            <a:defRPr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 sz="1400"/>
              <a:t>전자상거래 규모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정답!$B$5</c:f>
              <c:strCache>
                <c:ptCount val="1"/>
                <c:pt idx="0">
                  <c:v>B2G</c:v>
                </c:pt>
              </c:strCache>
            </c:strRef>
          </c:tx>
          <c:invertIfNegative val="0"/>
          <c:cat>
            <c:strRef>
              <c:f>정답!$C$3:$F$3</c:f>
              <c:strCache>
                <c:ptCount val="4"/>
                <c:pt idx="0">
                  <c:v>4/4분기</c:v>
                </c:pt>
                <c:pt idx="1">
                  <c:v>3/4분기</c:v>
                </c:pt>
                <c:pt idx="2">
                  <c:v>2/4분기</c:v>
                </c:pt>
                <c:pt idx="3">
                  <c:v>1/4분기</c:v>
                </c:pt>
              </c:strCache>
            </c:strRef>
          </c:cat>
          <c:val>
            <c:numRef>
              <c:f>정답!$C$5:$F$5</c:f>
              <c:numCache>
                <c:formatCode>#,##0</c:formatCode>
                <c:ptCount val="4"/>
                <c:pt idx="0">
                  <c:v>26318</c:v>
                </c:pt>
                <c:pt idx="1">
                  <c:v>11934</c:v>
                </c:pt>
                <c:pt idx="2">
                  <c:v>18696</c:v>
                </c:pt>
                <c:pt idx="3">
                  <c:v>13701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5-4A1B-889E-625006C47F9C}"/>
            </c:ext>
          </c:extLst>
        </c:ser>
        <c:ser>
          <c:idx val="2"/>
          <c:order val="2"/>
          <c:tx>
            <c:strRef>
              <c:f>정답!$B$6</c:f>
              <c:strCache>
                <c:ptCount val="1"/>
                <c:pt idx="0">
                  <c:v>B2C</c:v>
                </c:pt>
              </c:strCache>
            </c:strRef>
          </c:tx>
          <c:invertIfNegative val="0"/>
          <c:cat>
            <c:strRef>
              <c:f>정답!$C$3:$F$3</c:f>
              <c:strCache>
                <c:ptCount val="4"/>
                <c:pt idx="0">
                  <c:v>4/4분기</c:v>
                </c:pt>
                <c:pt idx="1">
                  <c:v>3/4분기</c:v>
                </c:pt>
                <c:pt idx="2">
                  <c:v>2/4분기</c:v>
                </c:pt>
                <c:pt idx="3">
                  <c:v>1/4분기</c:v>
                </c:pt>
              </c:strCache>
            </c:strRef>
          </c:cat>
          <c:val>
            <c:numRef>
              <c:f>정답!$C$6:$F$6</c:f>
              <c:numCache>
                <c:formatCode>#,##0</c:formatCode>
                <c:ptCount val="4"/>
                <c:pt idx="0">
                  <c:v>6746</c:v>
                </c:pt>
                <c:pt idx="1">
                  <c:v>6120</c:v>
                </c:pt>
                <c:pt idx="2">
                  <c:v>5754</c:v>
                </c:pt>
                <c:pt idx="3">
                  <c:v>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5-4A1B-889E-625006C47F9C}"/>
            </c:ext>
          </c:extLst>
        </c:ser>
        <c:ser>
          <c:idx val="3"/>
          <c:order val="3"/>
          <c:tx>
            <c:strRef>
              <c:f>정답!$B$7</c:f>
              <c:strCache>
                <c:ptCount val="1"/>
                <c:pt idx="0">
                  <c:v>C2C</c:v>
                </c:pt>
              </c:strCache>
            </c:strRef>
          </c:tx>
          <c:invertIfNegative val="0"/>
          <c:dLbls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25-4A1B-889E-625006C47F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정답!$C$3:$F$3</c:f>
              <c:strCache>
                <c:ptCount val="4"/>
                <c:pt idx="0">
                  <c:v>4/4분기</c:v>
                </c:pt>
                <c:pt idx="1">
                  <c:v>3/4분기</c:v>
                </c:pt>
                <c:pt idx="2">
                  <c:v>2/4분기</c:v>
                </c:pt>
                <c:pt idx="3">
                  <c:v>1/4분기</c:v>
                </c:pt>
              </c:strCache>
            </c:strRef>
          </c:cat>
          <c:val>
            <c:numRef>
              <c:f>정답!$C$7:$F$7</c:f>
              <c:numCache>
                <c:formatCode>#,##0</c:formatCode>
                <c:ptCount val="4"/>
                <c:pt idx="0">
                  <c:v>3662</c:v>
                </c:pt>
                <c:pt idx="1">
                  <c:v>3341</c:v>
                </c:pt>
                <c:pt idx="2">
                  <c:v>3318</c:v>
                </c:pt>
                <c:pt idx="3">
                  <c:v>3093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25-4A1B-889E-625006C47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301056"/>
        <c:axId val="100323328"/>
      </c:barChart>
      <c:lineChart>
        <c:grouping val="standard"/>
        <c:varyColors val="0"/>
        <c:ser>
          <c:idx val="0"/>
          <c:order val="0"/>
          <c:tx>
            <c:strRef>
              <c:f>정답!$B$4</c:f>
              <c:strCache>
                <c:ptCount val="1"/>
                <c:pt idx="0">
                  <c:v>B2B</c:v>
                </c:pt>
              </c:strCache>
            </c:strRef>
          </c:tx>
          <c:cat>
            <c:strRef>
              <c:f>정답!$C$3:$F$3</c:f>
              <c:strCache>
                <c:ptCount val="4"/>
                <c:pt idx="0">
                  <c:v>4/4분기</c:v>
                </c:pt>
                <c:pt idx="1">
                  <c:v>3/4분기</c:v>
                </c:pt>
                <c:pt idx="2">
                  <c:v>2/4분기</c:v>
                </c:pt>
                <c:pt idx="3">
                  <c:v>1/4분기</c:v>
                </c:pt>
              </c:strCache>
            </c:strRef>
          </c:cat>
          <c:val>
            <c:numRef>
              <c:f>정답!$C$4:$F$4</c:f>
              <c:numCache>
                <c:formatCode>#,##0</c:formatCode>
                <c:ptCount val="4"/>
                <c:pt idx="0">
                  <c:v>279308</c:v>
                </c:pt>
                <c:pt idx="1">
                  <c:v>271046</c:v>
                </c:pt>
                <c:pt idx="2">
                  <c:v>280975</c:v>
                </c:pt>
                <c:pt idx="3">
                  <c:v>264368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25-4A1B-889E-625006C47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9999"/>
        <c:axId val="423033327"/>
      </c:lineChart>
      <c:catAx>
        <c:axId val="100301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0323328"/>
        <c:crosses val="autoZero"/>
        <c:auto val="1"/>
        <c:lblAlgn val="ctr"/>
        <c:lblOffset val="100"/>
        <c:noMultiLvlLbl val="0"/>
      </c:catAx>
      <c:valAx>
        <c:axId val="1003233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0301056"/>
        <c:crosses val="autoZero"/>
        <c:crossBetween val="between"/>
      </c:valAx>
      <c:valAx>
        <c:axId val="423033327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crossAx val="423029999"/>
        <c:crosses val="max"/>
        <c:crossBetween val="between"/>
      </c:valAx>
      <c:catAx>
        <c:axId val="423029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3033327"/>
        <c:crosses val="autoZero"/>
        <c:auto val="1"/>
        <c:lblAlgn val="ctr"/>
        <c:lblOffset val="100"/>
        <c:noMultiLvlLbl val="0"/>
      </c:catAx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accent5"/>
          </a:solidFill>
          <a:prstDash val="solid"/>
          <a:miter lim="800000"/>
        </a:ln>
        <a:effectLst/>
      </c:spPr>
      <c:txPr>
        <a:bodyPr/>
        <a:lstStyle/>
        <a:p>
          <a:pPr>
            <a:defRPr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effectLst>
      <a:innerShdw blurRad="114300">
        <a:prstClr val="black"/>
      </a:innerShdw>
    </a:effectLst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정답2!$B$1</c:f>
          <c:strCache>
            <c:ptCount val="1"/>
            <c:pt idx="0">
              <c:v>고객서비스현황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정답2!$B$4</c:f>
              <c:strCache>
                <c:ptCount val="1"/>
                <c:pt idx="0">
                  <c:v>서비스이용자수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정답2!$D$3:$F$3</c:f>
              <c:strCache>
                <c:ptCount val="3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</c:strCache>
            </c:strRef>
          </c:cat>
          <c:val>
            <c:numRef>
              <c:f>정답2!$D$4:$F$4</c:f>
              <c:numCache>
                <c:formatCode>General</c:formatCode>
                <c:ptCount val="3"/>
                <c:pt idx="0">
                  <c:v>41011</c:v>
                </c:pt>
                <c:pt idx="1">
                  <c:v>40549</c:v>
                </c:pt>
                <c:pt idx="2">
                  <c:v>47326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D-4A15-82A4-26A6D6839449}"/>
            </c:ext>
          </c:extLst>
        </c:ser>
        <c:ser>
          <c:idx val="2"/>
          <c:order val="2"/>
          <c:tx>
            <c:strRef>
              <c:f>정답2!$B$6</c:f>
              <c:strCache>
                <c:ptCount val="1"/>
                <c:pt idx="0">
                  <c:v>서비스가입자수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정답2!$D$3:$F$3</c:f>
              <c:strCache>
                <c:ptCount val="3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</c:strCache>
            </c:strRef>
          </c:cat>
          <c:val>
            <c:numRef>
              <c:f>정답2!$D$6:$F$6</c:f>
              <c:numCache>
                <c:formatCode>General</c:formatCode>
                <c:ptCount val="3"/>
                <c:pt idx="0">
                  <c:v>22647</c:v>
                </c:pt>
                <c:pt idx="1">
                  <c:v>26799</c:v>
                </c:pt>
                <c:pt idx="2">
                  <c:v>28589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ED-4A15-82A4-26A6D6839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636367"/>
        <c:axId val="416636783"/>
      </c:barChart>
      <c:lineChart>
        <c:grouping val="standard"/>
        <c:varyColors val="0"/>
        <c:ser>
          <c:idx val="1"/>
          <c:order val="1"/>
          <c:tx>
            <c:strRef>
              <c:f>정답2!$B$5</c:f>
              <c:strCache>
                <c:ptCount val="1"/>
                <c:pt idx="0">
                  <c:v>서비스이용률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정답2!$D$3:$F$3</c:f>
              <c:strCache>
                <c:ptCount val="3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</c:strCache>
            </c:strRef>
          </c:cat>
          <c:val>
            <c:numRef>
              <c:f>정답2!$D$5:$F$5</c:f>
              <c:numCache>
                <c:formatCode>0.0</c:formatCode>
                <c:ptCount val="3"/>
                <c:pt idx="0">
                  <c:v>71</c:v>
                </c:pt>
                <c:pt idx="1">
                  <c:v>78.5</c:v>
                </c:pt>
                <c:pt idx="2">
                  <c:v>80.3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D-4A15-82A4-26A6D6839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829343"/>
        <c:axId val="414828511"/>
      </c:lineChart>
      <c:catAx>
        <c:axId val="41663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6636783"/>
        <c:crosses val="autoZero"/>
        <c:auto val="1"/>
        <c:lblAlgn val="ctr"/>
        <c:lblOffset val="100"/>
        <c:noMultiLvlLbl val="0"/>
      </c:catAx>
      <c:valAx>
        <c:axId val="41663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인원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6636367"/>
        <c:crosses val="autoZero"/>
        <c:crossBetween val="between"/>
      </c:valAx>
      <c:valAx>
        <c:axId val="414828511"/>
        <c:scaling>
          <c:orientation val="minMax"/>
        </c:scaling>
        <c:delete val="0"/>
        <c:axPos val="r"/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이용률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829343"/>
        <c:crosses val="max"/>
        <c:crossBetween val="between"/>
      </c:valAx>
      <c:catAx>
        <c:axId val="414829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48285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문구 판매현황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'차트-3'!$C$3</c:f>
              <c:strCache>
                <c:ptCount val="1"/>
                <c:pt idx="0">
                  <c:v>판매가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('차트-3'!$B$4:$B$5,'차트-3'!$B$7:$B$8,'차트-3'!$B$11)</c:f>
              <c:strCache>
                <c:ptCount val="5"/>
                <c:pt idx="0">
                  <c:v>노트</c:v>
                </c:pt>
                <c:pt idx="1">
                  <c:v>연필</c:v>
                </c:pt>
                <c:pt idx="2">
                  <c:v>잉크</c:v>
                </c:pt>
                <c:pt idx="3">
                  <c:v>파일</c:v>
                </c:pt>
                <c:pt idx="4">
                  <c:v>수정액</c:v>
                </c:pt>
              </c:strCache>
            </c:strRef>
          </c:cat>
          <c:val>
            <c:numRef>
              <c:f>('차트-3'!$C$4:$C$5,'차트-3'!$C$7:$C$8,'차트-3'!$C$11)</c:f>
              <c:numCache>
                <c:formatCode>#,##0_ </c:formatCode>
                <c:ptCount val="5"/>
                <c:pt idx="0">
                  <c:v>1500</c:v>
                </c:pt>
                <c:pt idx="1">
                  <c:v>500</c:v>
                </c:pt>
                <c:pt idx="2">
                  <c:v>2000</c:v>
                </c:pt>
                <c:pt idx="3">
                  <c:v>1500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2-4C15-8C7A-1992954ED489}"/>
            </c:ext>
          </c:extLst>
        </c:ser>
        <c:ser>
          <c:idx val="1"/>
          <c:order val="1"/>
          <c:tx>
            <c:strRef>
              <c:f>'차트-3'!$D$3</c:f>
              <c:strCache>
                <c:ptCount val="1"/>
                <c:pt idx="0">
                  <c:v>목표량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('차트-3'!$B$4:$B$5,'차트-3'!$B$7:$B$8,'차트-3'!$B$11)</c:f>
              <c:strCache>
                <c:ptCount val="5"/>
                <c:pt idx="0">
                  <c:v>노트</c:v>
                </c:pt>
                <c:pt idx="1">
                  <c:v>연필</c:v>
                </c:pt>
                <c:pt idx="2">
                  <c:v>잉크</c:v>
                </c:pt>
                <c:pt idx="3">
                  <c:v>파일</c:v>
                </c:pt>
                <c:pt idx="4">
                  <c:v>수정액</c:v>
                </c:pt>
              </c:strCache>
            </c:strRef>
          </c:cat>
          <c:val>
            <c:numRef>
              <c:f>('차트-3'!$D$4:$D$5,'차트-3'!$D$7:$D$8,'차트-3'!$D$11)</c:f>
              <c:numCache>
                <c:formatCode>#,##0_);[Red]\(#,##0\)</c:formatCode>
                <c:ptCount val="5"/>
                <c:pt idx="0">
                  <c:v>1500</c:v>
                </c:pt>
                <c:pt idx="1">
                  <c:v>1000</c:v>
                </c:pt>
                <c:pt idx="2">
                  <c:v>2000</c:v>
                </c:pt>
                <c:pt idx="3">
                  <c:v>2500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2-4C15-8C7A-1992954ED489}"/>
            </c:ext>
          </c:extLst>
        </c:ser>
        <c:ser>
          <c:idx val="2"/>
          <c:order val="2"/>
          <c:tx>
            <c:strRef>
              <c:f>'차트-3'!$E$3</c:f>
              <c:strCache>
                <c:ptCount val="1"/>
                <c:pt idx="0">
                  <c:v>판매량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('차트-3'!$B$4:$B$5,'차트-3'!$B$7:$B$8,'차트-3'!$B$11)</c:f>
              <c:strCache>
                <c:ptCount val="5"/>
                <c:pt idx="0">
                  <c:v>노트</c:v>
                </c:pt>
                <c:pt idx="1">
                  <c:v>연필</c:v>
                </c:pt>
                <c:pt idx="2">
                  <c:v>잉크</c:v>
                </c:pt>
                <c:pt idx="3">
                  <c:v>파일</c:v>
                </c:pt>
                <c:pt idx="4">
                  <c:v>수정액</c:v>
                </c:pt>
              </c:strCache>
            </c:strRef>
          </c:cat>
          <c:val>
            <c:numRef>
              <c:f>('차트-3'!$E$4:$E$5,'차트-3'!$E$7:$E$8,'차트-3'!$E$11)</c:f>
              <c:numCache>
                <c:formatCode>#,##0_);[Red]\(#,##0\)</c:formatCode>
                <c:ptCount val="5"/>
                <c:pt idx="0">
                  <c:v>1800</c:v>
                </c:pt>
                <c:pt idx="1">
                  <c:v>800</c:v>
                </c:pt>
                <c:pt idx="2">
                  <c:v>1500</c:v>
                </c:pt>
                <c:pt idx="3">
                  <c:v>2000</c:v>
                </c:pt>
                <c:pt idx="4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92-4C15-8C7A-1992954ED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144127"/>
        <c:axId val="2018139967"/>
      </c:barChart>
      <c:catAx>
        <c:axId val="201814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8139967"/>
        <c:crosses val="autoZero"/>
        <c:auto val="1"/>
        <c:lblAlgn val="ctr"/>
        <c:lblOffset val="100"/>
        <c:noMultiLvlLbl val="0"/>
      </c:catAx>
      <c:valAx>
        <c:axId val="201813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814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문구 판매현황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'차트-3'!$C$3</c:f>
              <c:strCache>
                <c:ptCount val="1"/>
                <c:pt idx="0">
                  <c:v>판매가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('차트-3'!$B$4:$B$5,'차트-3'!$B$7:$B$8,'차트-3'!$B$11)</c:f>
              <c:strCache>
                <c:ptCount val="5"/>
                <c:pt idx="0">
                  <c:v>노트</c:v>
                </c:pt>
                <c:pt idx="1">
                  <c:v>연필</c:v>
                </c:pt>
                <c:pt idx="2">
                  <c:v>잉크</c:v>
                </c:pt>
                <c:pt idx="3">
                  <c:v>파일</c:v>
                </c:pt>
                <c:pt idx="4">
                  <c:v>수정액</c:v>
                </c:pt>
              </c:strCache>
            </c:strRef>
          </c:cat>
          <c:val>
            <c:numRef>
              <c:f>('차트-3'!$C$4:$C$5,'차트-3'!$C$7:$C$8,'차트-3'!$C$11)</c:f>
              <c:numCache>
                <c:formatCode>#,##0_ </c:formatCode>
                <c:ptCount val="5"/>
                <c:pt idx="0">
                  <c:v>1500</c:v>
                </c:pt>
                <c:pt idx="1">
                  <c:v>500</c:v>
                </c:pt>
                <c:pt idx="2">
                  <c:v>2000</c:v>
                </c:pt>
                <c:pt idx="3">
                  <c:v>1500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1-4E6F-8DCF-4F682B3B3FC1}"/>
            </c:ext>
          </c:extLst>
        </c:ser>
        <c:ser>
          <c:idx val="2"/>
          <c:order val="2"/>
          <c:tx>
            <c:strRef>
              <c:f>'차트-3'!$E$3</c:f>
              <c:strCache>
                <c:ptCount val="1"/>
                <c:pt idx="0">
                  <c:v>판매량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('차트-3'!$B$4:$B$5,'차트-3'!$B$7:$B$8,'차트-3'!$B$11)</c:f>
              <c:strCache>
                <c:ptCount val="5"/>
                <c:pt idx="0">
                  <c:v>노트</c:v>
                </c:pt>
                <c:pt idx="1">
                  <c:v>연필</c:v>
                </c:pt>
                <c:pt idx="2">
                  <c:v>잉크</c:v>
                </c:pt>
                <c:pt idx="3">
                  <c:v>파일</c:v>
                </c:pt>
                <c:pt idx="4">
                  <c:v>수정액</c:v>
                </c:pt>
              </c:strCache>
            </c:strRef>
          </c:cat>
          <c:val>
            <c:numRef>
              <c:f>('차트-3'!$E$4:$E$5,'차트-3'!$E$7:$E$8,'차트-3'!$E$11)</c:f>
              <c:numCache>
                <c:formatCode>#,##0_);[Red]\(#,##0\)</c:formatCode>
                <c:ptCount val="5"/>
                <c:pt idx="0">
                  <c:v>1800</c:v>
                </c:pt>
                <c:pt idx="1">
                  <c:v>800</c:v>
                </c:pt>
                <c:pt idx="2">
                  <c:v>1500</c:v>
                </c:pt>
                <c:pt idx="3">
                  <c:v>2000</c:v>
                </c:pt>
                <c:pt idx="4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1-4E6F-8DCF-4F682B3B3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50"/>
        <c:axId val="2018144127"/>
        <c:axId val="201813996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'차트-3'!$D$3</c15:sqref>
                        </c15:formulaRef>
                      </c:ext>
                    </c:extLst>
                    <c:strCache>
                      <c:ptCount val="1"/>
                      <c:pt idx="0">
                        <c:v>목표량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('차트-3'!$B$4:$B$5,'차트-3'!$B$7:$B$8,'차트-3'!$B$11)</c15:sqref>
                        </c15:formulaRef>
                      </c:ext>
                    </c:extLst>
                    <c:strCache>
                      <c:ptCount val="5"/>
                      <c:pt idx="0">
                        <c:v>노트</c:v>
                      </c:pt>
                      <c:pt idx="1">
                        <c:v>연필</c:v>
                      </c:pt>
                      <c:pt idx="2">
                        <c:v>잉크</c:v>
                      </c:pt>
                      <c:pt idx="3">
                        <c:v>파일</c:v>
                      </c:pt>
                      <c:pt idx="4">
                        <c:v>수정액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('차트-3'!$D$4:$D$5,'차트-3'!$D$7:$D$8,'차트-3'!$D$11)</c15:sqref>
                        </c15:formulaRef>
                      </c:ext>
                    </c:extLst>
                    <c:numCache>
                      <c:formatCode>#,##0_);[Red]\(#,##0\)</c:formatCode>
                      <c:ptCount val="5"/>
                      <c:pt idx="0">
                        <c:v>1500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9C1-4E6F-8DCF-4F682B3B3FC1}"/>
                  </c:ext>
                </c:extLst>
              </c15:ser>
            </c15:filteredBarSeries>
          </c:ext>
        </c:extLst>
      </c:barChart>
      <c:catAx>
        <c:axId val="201814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8139967"/>
        <c:crossesAt val="1000"/>
        <c:auto val="1"/>
        <c:lblAlgn val="ctr"/>
        <c:lblOffset val="100"/>
        <c:noMultiLvlLbl val="0"/>
      </c:catAx>
      <c:valAx>
        <c:axId val="2018139967"/>
        <c:scaling>
          <c:orientation val="minMax"/>
          <c:max val="2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8144127"/>
        <c:crosses val="autoZero"/>
        <c:crossBetween val="between"/>
        <c:majorUnit val="4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문구 판매현황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정답3!$C$3</c:f>
              <c:strCache>
                <c:ptCount val="1"/>
                <c:pt idx="0">
                  <c:v>판매가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(정답3!$B$4:$B$5,정답3!$B$7:$B$8,정답3!$B$11)</c:f>
              <c:strCache>
                <c:ptCount val="5"/>
                <c:pt idx="0">
                  <c:v>노트</c:v>
                </c:pt>
                <c:pt idx="1">
                  <c:v>연필</c:v>
                </c:pt>
                <c:pt idx="2">
                  <c:v>잉크</c:v>
                </c:pt>
                <c:pt idx="3">
                  <c:v>파일</c:v>
                </c:pt>
                <c:pt idx="4">
                  <c:v>수정액</c:v>
                </c:pt>
              </c:strCache>
            </c:strRef>
          </c:cat>
          <c:val>
            <c:numRef>
              <c:f>(정답3!$C$4:$C$5,정답3!$C$7:$C$8,정답3!$C$11)</c:f>
              <c:numCache>
                <c:formatCode>#,##0_ </c:formatCode>
                <c:ptCount val="5"/>
                <c:pt idx="0">
                  <c:v>1500</c:v>
                </c:pt>
                <c:pt idx="1">
                  <c:v>500</c:v>
                </c:pt>
                <c:pt idx="2">
                  <c:v>2000</c:v>
                </c:pt>
                <c:pt idx="3">
                  <c:v>1500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9-422E-B377-87D00164BFFA}"/>
            </c:ext>
          </c:extLst>
        </c:ser>
        <c:ser>
          <c:idx val="2"/>
          <c:order val="2"/>
          <c:tx>
            <c:strRef>
              <c:f>정답3!$E$3</c:f>
              <c:strCache>
                <c:ptCount val="1"/>
                <c:pt idx="0">
                  <c:v>판매량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(정답3!$B$4:$B$5,정답3!$B$7:$B$8,정답3!$B$11)</c:f>
              <c:strCache>
                <c:ptCount val="5"/>
                <c:pt idx="0">
                  <c:v>노트</c:v>
                </c:pt>
                <c:pt idx="1">
                  <c:v>연필</c:v>
                </c:pt>
                <c:pt idx="2">
                  <c:v>잉크</c:v>
                </c:pt>
                <c:pt idx="3">
                  <c:v>파일</c:v>
                </c:pt>
                <c:pt idx="4">
                  <c:v>수정액</c:v>
                </c:pt>
              </c:strCache>
            </c:strRef>
          </c:cat>
          <c:val>
            <c:numRef>
              <c:f>(정답3!$E$4:$E$5,정답3!$E$7:$E$8,정답3!$E$11)</c:f>
              <c:numCache>
                <c:formatCode>#,##0_);[Red]\(#,##0\)</c:formatCode>
                <c:ptCount val="5"/>
                <c:pt idx="0">
                  <c:v>1800</c:v>
                </c:pt>
                <c:pt idx="1">
                  <c:v>800</c:v>
                </c:pt>
                <c:pt idx="2">
                  <c:v>1500</c:v>
                </c:pt>
                <c:pt idx="3">
                  <c:v>2000</c:v>
                </c:pt>
                <c:pt idx="4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B9-422E-B377-87D00164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50"/>
        <c:axId val="2018144127"/>
        <c:axId val="201813996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정답3!$D$3</c15:sqref>
                        </c15:formulaRef>
                      </c:ext>
                    </c:extLst>
                    <c:strCache>
                      <c:ptCount val="1"/>
                      <c:pt idx="0">
                        <c:v>목표량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(정답3!$B$4:$B$5,정답3!$B$7:$B$8,정답3!$B$11)</c15:sqref>
                        </c15:formulaRef>
                      </c:ext>
                    </c:extLst>
                    <c:strCache>
                      <c:ptCount val="5"/>
                      <c:pt idx="0">
                        <c:v>노트</c:v>
                      </c:pt>
                      <c:pt idx="1">
                        <c:v>연필</c:v>
                      </c:pt>
                      <c:pt idx="2">
                        <c:v>잉크</c:v>
                      </c:pt>
                      <c:pt idx="3">
                        <c:v>파일</c:v>
                      </c:pt>
                      <c:pt idx="4">
                        <c:v>수정액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(정답3!$D$4:$D$5,정답3!$D$7:$D$8,정답3!$D$11)</c15:sqref>
                        </c15:formulaRef>
                      </c:ext>
                    </c:extLst>
                    <c:numCache>
                      <c:formatCode>#,##0_);[Red]\(#,##0\)</c:formatCode>
                      <c:ptCount val="5"/>
                      <c:pt idx="0">
                        <c:v>1500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EB9-422E-B377-87D00164BFFA}"/>
                  </c:ext>
                </c:extLst>
              </c15:ser>
            </c15:filteredBarSeries>
          </c:ext>
        </c:extLst>
      </c:barChart>
      <c:catAx>
        <c:axId val="201814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8139967"/>
        <c:crossesAt val="1000"/>
        <c:auto val="1"/>
        <c:lblAlgn val="ctr"/>
        <c:lblOffset val="100"/>
        <c:noMultiLvlLbl val="0"/>
      </c:catAx>
      <c:valAx>
        <c:axId val="2018139967"/>
        <c:scaling>
          <c:orientation val="minMax"/>
          <c:max val="2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8144127"/>
        <c:crosses val="autoZero"/>
        <c:crossBetween val="between"/>
        <c:majorUnit val="4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'차트-4'!$E$3</c:f>
              <c:strCache>
                <c:ptCount val="1"/>
                <c:pt idx="0">
                  <c:v>판매금액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('차트-4'!$B$4:$B$5,'차트-4'!$B$7:$B$8,'차트-4'!$B$10)</c:f>
              <c:strCache>
                <c:ptCount val="5"/>
                <c:pt idx="0">
                  <c:v>액자</c:v>
                </c:pt>
                <c:pt idx="1">
                  <c:v>화분</c:v>
                </c:pt>
                <c:pt idx="2">
                  <c:v>스탠드</c:v>
                </c:pt>
                <c:pt idx="3">
                  <c:v>건조대</c:v>
                </c:pt>
                <c:pt idx="4">
                  <c:v>운동기구</c:v>
                </c:pt>
              </c:strCache>
            </c:strRef>
          </c:cat>
          <c:val>
            <c:numRef>
              <c:f>('차트-4'!$E$4:$E$5,'차트-4'!$E$7:$E$8,'차트-4'!$E$10)</c:f>
              <c:numCache>
                <c:formatCode>_(* #,##0_);_(* \(#,##0\);_(* "-"_);_(@_)</c:formatCode>
                <c:ptCount val="5"/>
                <c:pt idx="0">
                  <c:v>1293500</c:v>
                </c:pt>
                <c:pt idx="1">
                  <c:v>501600</c:v>
                </c:pt>
                <c:pt idx="2">
                  <c:v>3585000</c:v>
                </c:pt>
                <c:pt idx="3">
                  <c:v>2520000</c:v>
                </c:pt>
                <c:pt idx="4">
                  <c:v>5670000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A-4B85-9B8B-AB4757138204}"/>
            </c:ext>
          </c:extLst>
        </c:ser>
        <c:ser>
          <c:idx val="1"/>
          <c:order val="1"/>
          <c:tx>
            <c:strRef>
              <c:f>'차트-4'!$F$3</c:f>
              <c:strCache>
                <c:ptCount val="1"/>
                <c:pt idx="0">
                  <c:v>이익금액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('차트-4'!$B$4:$B$5,'차트-4'!$B$7:$B$8,'차트-4'!$B$10)</c:f>
              <c:strCache>
                <c:ptCount val="5"/>
                <c:pt idx="0">
                  <c:v>액자</c:v>
                </c:pt>
                <c:pt idx="1">
                  <c:v>화분</c:v>
                </c:pt>
                <c:pt idx="2">
                  <c:v>스탠드</c:v>
                </c:pt>
                <c:pt idx="3">
                  <c:v>건조대</c:v>
                </c:pt>
                <c:pt idx="4">
                  <c:v>운동기구</c:v>
                </c:pt>
              </c:strCache>
            </c:strRef>
          </c:cat>
          <c:val>
            <c:numRef>
              <c:f>('차트-4'!$F$4:$F$5,'차트-4'!$F$7:$F$8,'차트-4'!$F$10)</c:f>
              <c:numCache>
                <c:formatCode>_(* #,##0_);_(* \(#,##0\);_(* "-"_);_(@_)</c:formatCode>
                <c:ptCount val="5"/>
                <c:pt idx="0">
                  <c:v>194025</c:v>
                </c:pt>
                <c:pt idx="1">
                  <c:v>105336</c:v>
                </c:pt>
                <c:pt idx="2">
                  <c:v>967950.00000000012</c:v>
                </c:pt>
                <c:pt idx="3">
                  <c:v>680400</c:v>
                </c:pt>
                <c:pt idx="4">
                  <c:v>1304100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4A-4B85-9B8B-AB4757138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140799"/>
        <c:axId val="2018148703"/>
      </c:barChart>
      <c:catAx>
        <c:axId val="20181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8148703"/>
        <c:crosses val="autoZero"/>
        <c:auto val="1"/>
        <c:lblAlgn val="ctr"/>
        <c:lblOffset val="100"/>
        <c:noMultiLvlLbl val="0"/>
      </c:catAx>
      <c:valAx>
        <c:axId val="201814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814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'차트-4'!$F$3</c:f>
              <c:strCache>
                <c:ptCount val="1"/>
                <c:pt idx="0">
                  <c:v>이익금액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('차트-4'!$B$4:$B$5,'차트-4'!$B$7:$B$8,'차트-4'!$B$10)</c:f>
              <c:strCache>
                <c:ptCount val="5"/>
                <c:pt idx="0">
                  <c:v>액자</c:v>
                </c:pt>
                <c:pt idx="1">
                  <c:v>화분</c:v>
                </c:pt>
                <c:pt idx="2">
                  <c:v>스탠드</c:v>
                </c:pt>
                <c:pt idx="3">
                  <c:v>건조대</c:v>
                </c:pt>
                <c:pt idx="4">
                  <c:v>운동기구</c:v>
                </c:pt>
              </c:strCache>
            </c:strRef>
          </c:cat>
          <c:val>
            <c:numRef>
              <c:f>('차트-4'!$F$4:$F$5,'차트-4'!$F$7:$F$8,'차트-4'!$F$10)</c:f>
              <c:numCache>
                <c:formatCode>_(* #,##0_);_(* \(#,##0\);_(* "-"_);_(@_)</c:formatCode>
                <c:ptCount val="5"/>
                <c:pt idx="0">
                  <c:v>194025</c:v>
                </c:pt>
                <c:pt idx="1">
                  <c:v>105336</c:v>
                </c:pt>
                <c:pt idx="2">
                  <c:v>967950.00000000012</c:v>
                </c:pt>
                <c:pt idx="3">
                  <c:v>680400</c:v>
                </c:pt>
                <c:pt idx="4">
                  <c:v>1304100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F-4B25-B49E-7764B074812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45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'차트-4'!$E$3</c15:sqref>
                        </c15:formulaRef>
                      </c:ext>
                    </c:extLst>
                    <c:strCache>
                      <c:ptCount val="1"/>
                      <c:pt idx="0">
                        <c:v>판매금액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('차트-4'!$B$4:$B$5,'차트-4'!$B$7:$B$8,'차트-4'!$B$10)</c15:sqref>
                        </c15:formulaRef>
                      </c:ext>
                    </c:extLst>
                    <c:strCache>
                      <c:ptCount val="5"/>
                      <c:pt idx="0">
                        <c:v>액자</c:v>
                      </c:pt>
                      <c:pt idx="1">
                        <c:v>화분</c:v>
                      </c:pt>
                      <c:pt idx="2">
                        <c:v>스탠드</c:v>
                      </c:pt>
                      <c:pt idx="3">
                        <c:v>건조대</c:v>
                      </c:pt>
                      <c:pt idx="4">
                        <c:v>운동기구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('차트-4'!$E$4:$E$5,'차트-4'!$E$7:$E$8,'차트-4'!$E$10)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5"/>
                      <c:pt idx="0">
                        <c:v>1293500</c:v>
                      </c:pt>
                      <c:pt idx="1">
                        <c:v>501600</c:v>
                      </c:pt>
                      <c:pt idx="2">
                        <c:v>3585000</c:v>
                      </c:pt>
                      <c:pt idx="3">
                        <c:v>2520000</c:v>
                      </c:pt>
                      <c:pt idx="4">
                        <c:v>5670000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6DF-4B25-B49E-7764B074812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>
                <a:solidFill>
                  <a:srgbClr val="FFFF00"/>
                </a:solidFill>
              </a:rPr>
              <a:t>이익금액</a:t>
            </a:r>
          </a:p>
        </c:rich>
      </c:tx>
      <c:overlay val="0"/>
      <c:spPr>
        <a:solidFill>
          <a:srgbClr val="0070C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정답4!$F$3</c:f>
              <c:strCache>
                <c:ptCount val="1"/>
                <c:pt idx="0">
                  <c:v>이익금액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B9-4FEB-8181-9047EFCB34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B9-4FEB-8181-9047EFCB34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B9-4FEB-8181-9047EFCB34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B9-4FEB-8181-9047EFCB34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C56-49FD-B5CB-7735137792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(정답4!$B$4:$B$5,정답4!$B$7:$B$8,정답4!$B$10)</c:f>
              <c:strCache>
                <c:ptCount val="5"/>
                <c:pt idx="0">
                  <c:v>액자</c:v>
                </c:pt>
                <c:pt idx="1">
                  <c:v>화분</c:v>
                </c:pt>
                <c:pt idx="2">
                  <c:v>스탠드</c:v>
                </c:pt>
                <c:pt idx="3">
                  <c:v>건조대</c:v>
                </c:pt>
                <c:pt idx="4">
                  <c:v>운동기구</c:v>
                </c:pt>
              </c:strCache>
            </c:strRef>
          </c:cat>
          <c:val>
            <c:numRef>
              <c:f>(정답4!$F$4:$F$5,정답4!$F$7:$F$8,정답4!$F$10)</c:f>
              <c:numCache>
                <c:formatCode>_(* #,##0_);_(* \(#,##0\);_(* "-"_);_(@_)</c:formatCode>
                <c:ptCount val="5"/>
                <c:pt idx="0">
                  <c:v>194025</c:v>
                </c:pt>
                <c:pt idx="1">
                  <c:v>105336</c:v>
                </c:pt>
                <c:pt idx="2">
                  <c:v>967950.00000000012</c:v>
                </c:pt>
                <c:pt idx="3">
                  <c:v>680400</c:v>
                </c:pt>
                <c:pt idx="4">
                  <c:v>1304100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56-49FD-B5CB-7735137792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45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chart" Target="../charts/chart3.xml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chart" Target="../charts/chart6.xml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image" Target="../media/image23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2" Type="http://schemas.openxmlformats.org/officeDocument/2006/relationships/image" Target="../media/image24.png"/><Relationship Id="rId1" Type="http://schemas.openxmlformats.org/officeDocument/2006/relationships/chart" Target="../charts/chart9.xml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0</xdr:colOff>
      <xdr:row>1</xdr:row>
      <xdr:rowOff>0</xdr:rowOff>
    </xdr:from>
    <xdr:ext cx="5994077" cy="26485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457950" y="209550"/>
          <a:ext cx="5994077" cy="2648546"/>
        </a:xfrm>
        <a:custGeom>
          <a:avLst/>
          <a:gdLst>
            <a:gd name="csX0" fmla="*/ 0 w 5994077"/>
            <a:gd name="csY0" fmla="*/ 0 h 2648546"/>
            <a:gd name="csX1" fmla="*/ 5994077 w 5994077"/>
            <a:gd name="csY1" fmla="*/ 0 h 2648546"/>
            <a:gd name="csX2" fmla="*/ 5994077 w 5994077"/>
            <a:gd name="csY2" fmla="*/ 2648546 h 2648546"/>
            <a:gd name="csX3" fmla="*/ 0 w 5994077"/>
            <a:gd name="csY3" fmla="*/ 2648546 h 2648546"/>
            <a:gd name="csX4" fmla="*/ 0 w 5994077"/>
            <a:gd name="csY4" fmla="*/ 0 h 264854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994077" h="2648546" fill="none" extrusionOk="0">
              <a:moveTo>
                <a:pt x="0" y="0"/>
              </a:moveTo>
              <a:cubicBezTo>
                <a:pt x="1433262" y="-49533"/>
                <a:pt x="5105243" y="-14809"/>
                <a:pt x="5994077" y="0"/>
              </a:cubicBezTo>
              <a:cubicBezTo>
                <a:pt x="6081716" y="963866"/>
                <a:pt x="5921398" y="2178533"/>
                <a:pt x="5994077" y="2648546"/>
              </a:cubicBezTo>
              <a:cubicBezTo>
                <a:pt x="5019888" y="2600315"/>
                <a:pt x="968531" y="2733001"/>
                <a:pt x="0" y="2648546"/>
              </a:cubicBezTo>
              <a:cubicBezTo>
                <a:pt x="-38581" y="2234352"/>
                <a:pt x="63341" y="1242273"/>
                <a:pt x="0" y="0"/>
              </a:cubicBezTo>
              <a:close/>
            </a:path>
            <a:path w="5994077" h="2648546" stroke="0" extrusionOk="0">
              <a:moveTo>
                <a:pt x="0" y="0"/>
              </a:moveTo>
              <a:cubicBezTo>
                <a:pt x="1918036" y="118645"/>
                <a:pt x="4925037" y="116012"/>
                <a:pt x="5994077" y="0"/>
              </a:cubicBezTo>
              <a:cubicBezTo>
                <a:pt x="5861195" y="579732"/>
                <a:pt x="6079028" y="1681809"/>
                <a:pt x="5994077" y="2648546"/>
              </a:cubicBezTo>
              <a:cubicBezTo>
                <a:pt x="3473168" y="2783146"/>
                <a:pt x="685614" y="2491350"/>
                <a:pt x="0" y="2648546"/>
              </a:cubicBezTo>
              <a:cubicBezTo>
                <a:pt x="-20187" y="2213977"/>
                <a:pt x="-152480" y="653697"/>
                <a:pt x="0" y="0"/>
              </a:cubicBezTo>
              <a:close/>
            </a:path>
          </a:pathLst>
        </a:custGeom>
        <a:solidFill>
          <a:schemeClr val="bg1"/>
        </a:solidFill>
        <a:ln>
          <a:solidFill>
            <a:sysClr val="windowText" lastClr="000000"/>
          </a:solidFill>
          <a:extLst>
            <a:ext uri="{C807C97D-BFC1-408E-A445-0C87EB9F89A2}">
              <ask:lineSketchStyleProps xmlns:ask="http://schemas.microsoft.com/office/drawing/2018/sketchyshapes" sd="1219033472">
                <a:prstGeom prst="rect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cap="none" spc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1)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 B2B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계열의 차트 종류를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표식이 있는 꺽은 선형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으로 변경하고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, 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보조축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으로 지정하시오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2)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차트제목을 차트 위로 추가하여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전자상거래 규모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를 입력하고 글꼴크기는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14pt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로 설정하시오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3)C2C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계열의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1/4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분기 요소에 데이터 레이블의 위치를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바깥쪽 끝에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로 지정하여 추가하시오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4)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범례 서식을 이용하여 범례 위치를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위쪽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으로 변경하고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,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범례의 도형스타일을 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   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색 윤곽선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-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파랑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,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강조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5'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로 설정하시오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5)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차트영역에 그림자는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안쪽가운데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테두리 스타일은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둥근 모서리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로 지정하시오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ko-KR" altLang="en-US" sz="11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563880</xdr:colOff>
      <xdr:row>1</xdr:row>
      <xdr:rowOff>0</xdr:rowOff>
    </xdr:from>
    <xdr:ext cx="5990743" cy="241694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964680" y="220980"/>
          <a:ext cx="5990743" cy="2416944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1)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 B2B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계열의 차트 종류를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표식이 있는 꺽은 선형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으로 변경하고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, 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보조축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으로 지정하시오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2)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차트제목을 차트 위로 추가하여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전자상거래 규모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를 입력하고 글꼴크기는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14pt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로 설정하시오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3)C2C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계열의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1/4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분기 요소에 데이터 레이블의 위치를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바깥쪽 끝에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로 지정하여 추가하시오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4)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범례 서식을 이용하여 범례 위치를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위쪽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으로 변경하고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,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범례의 도형스타일을 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   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색 윤곽선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-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파랑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,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강조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5'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로 설정하시오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5)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차트영역에 그림자는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안쪽가운데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테두리 스타일은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둥근 모서리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로 지정하시오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ko-KR" altLang="en-US" sz="11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  <xdr:twoCellAnchor editAs="oneCell">
    <xdr:from>
      <xdr:col>18</xdr:col>
      <xdr:colOff>161925</xdr:colOff>
      <xdr:row>16</xdr:row>
      <xdr:rowOff>190500</xdr:rowOff>
    </xdr:from>
    <xdr:to>
      <xdr:col>27</xdr:col>
      <xdr:colOff>134207</xdr:colOff>
      <xdr:row>41</xdr:row>
      <xdr:rowOff>200775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123D31B-8E98-D2E6-AC8B-A866B3EFD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92075" y="3543300"/>
          <a:ext cx="6144482" cy="5372850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76</xdr:row>
      <xdr:rowOff>0</xdr:rowOff>
    </xdr:from>
    <xdr:to>
      <xdr:col>18</xdr:col>
      <xdr:colOff>209670</xdr:colOff>
      <xdr:row>83</xdr:row>
      <xdr:rowOff>47863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231AE78-E165-6628-A5FF-8B1B12DED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82450" y="16297275"/>
          <a:ext cx="857370" cy="1705213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</xdr:row>
      <xdr:rowOff>0</xdr:rowOff>
    </xdr:from>
    <xdr:to>
      <xdr:col>20</xdr:col>
      <xdr:colOff>428781</xdr:colOff>
      <xdr:row>78</xdr:row>
      <xdr:rowOff>200099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1836737-C35E-D524-286E-79E7FCCC4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15950" y="16506825"/>
          <a:ext cx="1114581" cy="53347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14</xdr:col>
      <xdr:colOff>638551</xdr:colOff>
      <xdr:row>126</xdr:row>
      <xdr:rowOff>105521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A915B11-D3CB-1995-D47A-DDE56FF4B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9550" y="21793200"/>
          <a:ext cx="2695951" cy="534427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101</xdr:row>
      <xdr:rowOff>0</xdr:rowOff>
    </xdr:from>
    <xdr:to>
      <xdr:col>19</xdr:col>
      <xdr:colOff>629025</xdr:colOff>
      <xdr:row>134</xdr:row>
      <xdr:rowOff>115281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F16CEED-3C81-5554-9714-93A4DE079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58550" y="21793200"/>
          <a:ext cx="2686425" cy="703043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</xdr:row>
      <xdr:rowOff>0</xdr:rowOff>
    </xdr:from>
    <xdr:to>
      <xdr:col>24</xdr:col>
      <xdr:colOff>667322</xdr:colOff>
      <xdr:row>90</xdr:row>
      <xdr:rowOff>162074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5852F5D-AD83-4B05-3E7A-68E0D5599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15950" y="18583275"/>
          <a:ext cx="4096322" cy="10669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638175</xdr:colOff>
      <xdr:row>0</xdr:row>
      <xdr:rowOff>190500</xdr:rowOff>
    </xdr:from>
    <xdr:ext cx="7909216" cy="24101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429250" y="190500"/>
          <a:ext cx="7909216" cy="2410147"/>
        </a:xfrm>
        <a:custGeom>
          <a:avLst/>
          <a:gdLst>
            <a:gd name="csX0" fmla="*/ 0 w 7909216"/>
            <a:gd name="csY0" fmla="*/ 0 h 2410147"/>
            <a:gd name="csX1" fmla="*/ 7909216 w 7909216"/>
            <a:gd name="csY1" fmla="*/ 0 h 2410147"/>
            <a:gd name="csX2" fmla="*/ 7909216 w 7909216"/>
            <a:gd name="csY2" fmla="*/ 2410147 h 2410147"/>
            <a:gd name="csX3" fmla="*/ 0 w 7909216"/>
            <a:gd name="csY3" fmla="*/ 2410147 h 2410147"/>
            <a:gd name="csX4" fmla="*/ 0 w 7909216"/>
            <a:gd name="csY4" fmla="*/ 0 h 24101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7909216" h="2410147" fill="none" extrusionOk="0">
              <a:moveTo>
                <a:pt x="0" y="0"/>
              </a:moveTo>
              <a:cubicBezTo>
                <a:pt x="1668442" y="-111356"/>
                <a:pt x="4035765" y="-141054"/>
                <a:pt x="7909216" y="0"/>
              </a:cubicBezTo>
              <a:cubicBezTo>
                <a:pt x="7839464" y="864724"/>
                <a:pt x="7754529" y="1256728"/>
                <a:pt x="7909216" y="2410147"/>
              </a:cubicBezTo>
              <a:cubicBezTo>
                <a:pt x="6886742" y="2537063"/>
                <a:pt x="3386446" y="2409487"/>
                <a:pt x="0" y="2410147"/>
              </a:cubicBezTo>
              <a:cubicBezTo>
                <a:pt x="-1751" y="1565284"/>
                <a:pt x="52062" y="773997"/>
                <a:pt x="0" y="0"/>
              </a:cubicBezTo>
              <a:close/>
            </a:path>
            <a:path w="7909216" h="2410147" stroke="0" extrusionOk="0">
              <a:moveTo>
                <a:pt x="0" y="0"/>
              </a:moveTo>
              <a:cubicBezTo>
                <a:pt x="1016463" y="-93357"/>
                <a:pt x="5702579" y="164231"/>
                <a:pt x="7909216" y="0"/>
              </a:cubicBezTo>
              <a:cubicBezTo>
                <a:pt x="7963581" y="1023241"/>
                <a:pt x="7880242" y="1730443"/>
                <a:pt x="7909216" y="2410147"/>
              </a:cubicBezTo>
              <a:cubicBezTo>
                <a:pt x="4879446" y="2469549"/>
                <a:pt x="1143099" y="2325953"/>
                <a:pt x="0" y="2410147"/>
              </a:cubicBezTo>
              <a:cubicBezTo>
                <a:pt x="-126740" y="1844749"/>
                <a:pt x="62262" y="721737"/>
                <a:pt x="0" y="0"/>
              </a:cubicBezTo>
              <a:close/>
            </a:path>
          </a:pathLst>
        </a:custGeom>
        <a:solidFill>
          <a:schemeClr val="bg1"/>
        </a:solidFill>
        <a:ln>
          <a:solidFill>
            <a:sysClr val="windowText" lastClr="000000"/>
          </a:solidFill>
          <a:extLst>
            <a:ext uri="{C807C97D-BFC1-408E-A445-0C87EB9F89A2}">
              <ask:lineSketchStyleProps xmlns:ask="http://schemas.microsoft.com/office/drawing/2018/sketchyshapes" sd="972930262">
                <a:prstGeom prst="rect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cap="none" spc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1)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2019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년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~2021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년의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서비스 이용자수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 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서비스 이용률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 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서비스가입자수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데이터를 이용하여 동일시트의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[B9:H21]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에 차트 작성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2)'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서비스 이용률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은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표식이 있는 꺽은 선형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으로 변경하고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보조 축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으로 지정하시오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3)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차트 제목은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[B1]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셀과 연동 되도록 설정하시오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4)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각 축의 제목은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&lt;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그림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&gt;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과 같이 설정하고 텍스트 방향은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스택형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으로 설정하시오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5)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차트 영역은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차트스타일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3'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을 지정하시오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ko-KR" altLang="en-US" sz="11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  <xdr:twoCellAnchor editAs="oneCell">
    <xdr:from>
      <xdr:col>7</xdr:col>
      <xdr:colOff>657225</xdr:colOff>
      <xdr:row>13</xdr:row>
      <xdr:rowOff>32386</xdr:rowOff>
    </xdr:from>
    <xdr:to>
      <xdr:col>14</xdr:col>
      <xdr:colOff>658736</xdr:colOff>
      <xdr:row>24</xdr:row>
      <xdr:rowOff>173356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300" y="2756536"/>
          <a:ext cx="4802111" cy="24460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266700</xdr:colOff>
      <xdr:row>1</xdr:row>
      <xdr:rowOff>38100</xdr:rowOff>
    </xdr:from>
    <xdr:ext cx="7765780" cy="21730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646420" y="259080"/>
          <a:ext cx="7765780" cy="217303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1)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2019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년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~2021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년의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서비스 이용자수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 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서비스 이용률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 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서비스가입자수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데이터를 이용하요 동일시트의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[B9:H21]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에 차트 작성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2)'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서비스 이용률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은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표식이 있는 꺽은 선형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으로 변경하고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보조 축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으로 지정하시오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3)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차트 제목은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[B1]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셀과 연동 되도록 설정하시오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4)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각 축의 제목은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&lt;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그림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&gt;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과 같이 설정하고 텍스트 방향은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스택형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으로 설정하시오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5)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차트 영역은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차트스타일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3'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을 지정하시오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ko-KR" altLang="en-US" sz="11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  <xdr:twoCellAnchor>
    <xdr:from>
      <xdr:col>1</xdr:col>
      <xdr:colOff>22860</xdr:colOff>
      <xdr:row>8</xdr:row>
      <xdr:rowOff>36195</xdr:rowOff>
    </xdr:from>
    <xdr:to>
      <xdr:col>7</xdr:col>
      <xdr:colOff>655320</xdr:colOff>
      <xdr:row>21</xdr:row>
      <xdr:rowOff>17145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31</xdr:row>
      <xdr:rowOff>0</xdr:rowOff>
    </xdr:from>
    <xdr:to>
      <xdr:col>19</xdr:col>
      <xdr:colOff>67546</xdr:colOff>
      <xdr:row>60</xdr:row>
      <xdr:rowOff>48480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A72A7F7-04CF-0B67-13E7-E2E2B1E8B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8475" y="6496050"/>
          <a:ext cx="6239746" cy="612543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15</xdr:col>
      <xdr:colOff>419637</xdr:colOff>
      <xdr:row>30</xdr:row>
      <xdr:rowOff>76357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4D9634-4E9F-167C-F7FE-62F844DA4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48475" y="5238750"/>
          <a:ext cx="3848637" cy="1124107"/>
        </a:xfrm>
        <a:prstGeom prst="rect">
          <a:avLst/>
        </a:prstGeom>
      </xdr:spPr>
    </xdr:pic>
    <xdr:clientData/>
  </xdr:twoCellAnchor>
  <xdr:twoCellAnchor editAs="oneCell">
    <xdr:from>
      <xdr:col>20</xdr:col>
      <xdr:colOff>123825</xdr:colOff>
      <xdr:row>32</xdr:row>
      <xdr:rowOff>0</xdr:rowOff>
    </xdr:from>
    <xdr:to>
      <xdr:col>25</xdr:col>
      <xdr:colOff>143356</xdr:colOff>
      <xdr:row>37</xdr:row>
      <xdr:rowOff>28725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1135525-8AC9-6D03-E7AE-63379A84C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30300" y="6705600"/>
          <a:ext cx="3448531" cy="107647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</xdr:colOff>
      <xdr:row>71</xdr:row>
      <xdr:rowOff>19050</xdr:rowOff>
    </xdr:from>
    <xdr:to>
      <xdr:col>20</xdr:col>
      <xdr:colOff>76590</xdr:colOff>
      <xdr:row>95</xdr:row>
      <xdr:rowOff>699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B9FE72B-BAA4-0B7F-9B15-D6DA7F318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91850" y="14897100"/>
          <a:ext cx="2791215" cy="501084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71</xdr:row>
      <xdr:rowOff>0</xdr:rowOff>
    </xdr:from>
    <xdr:to>
      <xdr:col>15</xdr:col>
      <xdr:colOff>457647</xdr:colOff>
      <xdr:row>79</xdr:row>
      <xdr:rowOff>234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2AA08BF-044F-657F-5B00-E1650CEF1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34275" y="14878050"/>
          <a:ext cx="3200847" cy="167663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97</xdr:row>
      <xdr:rowOff>0</xdr:rowOff>
    </xdr:from>
    <xdr:to>
      <xdr:col>21</xdr:col>
      <xdr:colOff>353431</xdr:colOff>
      <xdr:row>102</xdr:row>
      <xdr:rowOff>152568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1144176-5B57-8464-C1E3-6050D4345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34275" y="20326350"/>
          <a:ext cx="7211431" cy="120031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15</xdr:col>
      <xdr:colOff>619690</xdr:colOff>
      <xdr:row>23</xdr:row>
      <xdr:rowOff>85912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3E29707-8ACA-603A-F1D6-CC807B0C3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48475" y="3562350"/>
          <a:ext cx="4048690" cy="13432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142875</xdr:colOff>
      <xdr:row>1</xdr:row>
      <xdr:rowOff>123825</xdr:rowOff>
    </xdr:from>
    <xdr:ext cx="6249018" cy="223792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905500" y="333375"/>
          <a:ext cx="6249018" cy="2237920"/>
        </a:xfrm>
        <a:custGeom>
          <a:avLst/>
          <a:gdLst>
            <a:gd name="csX0" fmla="*/ 0 w 6249018"/>
            <a:gd name="csY0" fmla="*/ 0 h 2237920"/>
            <a:gd name="csX1" fmla="*/ 6249018 w 6249018"/>
            <a:gd name="csY1" fmla="*/ 0 h 2237920"/>
            <a:gd name="csX2" fmla="*/ 6249018 w 6249018"/>
            <a:gd name="csY2" fmla="*/ 2237920 h 2237920"/>
            <a:gd name="csX3" fmla="*/ 0 w 6249018"/>
            <a:gd name="csY3" fmla="*/ 2237920 h 2237920"/>
            <a:gd name="csX4" fmla="*/ 0 w 6249018"/>
            <a:gd name="csY4" fmla="*/ 0 h 223792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6249018" h="2237920" fill="none" extrusionOk="0">
              <a:moveTo>
                <a:pt x="0" y="0"/>
              </a:moveTo>
              <a:cubicBezTo>
                <a:pt x="743459" y="-99671"/>
                <a:pt x="5514812" y="-26747"/>
                <a:pt x="6249018" y="0"/>
              </a:cubicBezTo>
              <a:cubicBezTo>
                <a:pt x="6325311" y="526696"/>
                <a:pt x="6189257" y="2004468"/>
                <a:pt x="6249018" y="2237920"/>
              </a:cubicBezTo>
              <a:cubicBezTo>
                <a:pt x="3748315" y="2277177"/>
                <a:pt x="930733" y="2348181"/>
                <a:pt x="0" y="2237920"/>
              </a:cubicBezTo>
              <a:cubicBezTo>
                <a:pt x="48796" y="1901574"/>
                <a:pt x="111676" y="711417"/>
                <a:pt x="0" y="0"/>
              </a:cubicBezTo>
              <a:close/>
            </a:path>
            <a:path w="6249018" h="2237920" stroke="0" extrusionOk="0">
              <a:moveTo>
                <a:pt x="0" y="0"/>
              </a:moveTo>
              <a:cubicBezTo>
                <a:pt x="1428196" y="165053"/>
                <a:pt x="3883943" y="-25834"/>
                <a:pt x="6249018" y="0"/>
              </a:cubicBezTo>
              <a:cubicBezTo>
                <a:pt x="6332462" y="343658"/>
                <a:pt x="6353691" y="1523480"/>
                <a:pt x="6249018" y="2237920"/>
              </a:cubicBezTo>
              <a:cubicBezTo>
                <a:pt x="4476100" y="2330375"/>
                <a:pt x="2132023" y="2306099"/>
                <a:pt x="0" y="2237920"/>
              </a:cubicBezTo>
              <a:cubicBezTo>
                <a:pt x="-132329" y="1793895"/>
                <a:pt x="167851" y="1092233"/>
                <a:pt x="0" y="0"/>
              </a:cubicBezTo>
              <a:close/>
            </a:path>
          </a:pathLst>
        </a:custGeom>
        <a:solidFill>
          <a:schemeClr val="bg1"/>
        </a:solidFill>
        <a:ln>
          <a:solidFill>
            <a:sysClr val="windowText" lastClr="000000"/>
          </a:solidFill>
          <a:extLst>
            <a:ext uri="{C807C97D-BFC1-408E-A445-0C87EB9F89A2}">
              <ask:lineSketchStyleProps xmlns:ask="http://schemas.microsoft.com/office/drawing/2018/sketchyshapes" sd="1858009241">
                <a:prstGeom prst="rect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cap="none" spc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1)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문구판매현황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정보에서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품목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별로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판매가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와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판매량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이 표시되도록 데이터 범위를 수정하시오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2)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세로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(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값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의 축의 최소값은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0,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최대값은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2,400,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주 단위는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400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으로 지정하시오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3)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세로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(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값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축의 가로축 교차를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1,000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으로 지정하시오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4)'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판매가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의 데이터 계열 서식의 옵션에서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계열 겹치기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"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를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50%, 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간격 너비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를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100%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로 지정하시오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5)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차트 영역에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데이터 표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를 표시하시오</a:t>
          </a:r>
          <a:endParaRPr lang="ko-KR" altLang="en-US" sz="1100" b="0" cap="none" spc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oneCellAnchor>
  <xdr:twoCellAnchor>
    <xdr:from>
      <xdr:col>1</xdr:col>
      <xdr:colOff>0</xdr:colOff>
      <xdr:row>33</xdr:row>
      <xdr:rowOff>0</xdr:rowOff>
    </xdr:from>
    <xdr:to>
      <xdr:col>9</xdr:col>
      <xdr:colOff>0</xdr:colOff>
      <xdr:row>48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C901C48-44A6-4A79-8725-436925920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0</xdr:colOff>
      <xdr:row>2</xdr:row>
      <xdr:rowOff>0</xdr:rowOff>
    </xdr:from>
    <xdr:ext cx="6195479" cy="200080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775960" y="441960"/>
          <a:ext cx="6195479" cy="2000804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1)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문구판매현황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정보에서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품목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별로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판매가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와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판매량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이 표시되도록 데이터 범위를 수정하시오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2)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세로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(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값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의 축의 최소값은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0,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최대값은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2,400,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주 단위는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400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으로 지정하시오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3)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세로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(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값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축의 가로축 교차를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1,000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으로 지정하시오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4)'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판매가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의 데이터 계열 서식의 옵션에서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계열 겹치기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"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를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50%, 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간격 너비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를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100%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로 지정하시오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5)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차트 영역에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데이터 표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를 표시하시오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(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범례표지 포함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)</a:t>
          </a:r>
          <a:endParaRPr lang="ko-KR" altLang="en-US" sz="11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  <xdr:twoCellAnchor editAs="oneCell">
    <xdr:from>
      <xdr:col>11</xdr:col>
      <xdr:colOff>0</xdr:colOff>
      <xdr:row>14</xdr:row>
      <xdr:rowOff>0</xdr:rowOff>
    </xdr:from>
    <xdr:to>
      <xdr:col>15</xdr:col>
      <xdr:colOff>114694</xdr:colOff>
      <xdr:row>22</xdr:row>
      <xdr:rowOff>114550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01EB78B-8E0A-0BB8-65E0-7578CE2C1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5175" y="2933700"/>
          <a:ext cx="2819794" cy="17909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609685</xdr:colOff>
      <xdr:row>36</xdr:row>
      <xdr:rowOff>57480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44DA129-EA1B-B40F-75F8-B3D14C6E0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15175" y="5238750"/>
          <a:ext cx="609685" cy="236253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18</xdr:col>
      <xdr:colOff>219483</xdr:colOff>
      <xdr:row>37</xdr:row>
      <xdr:rowOff>200404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CFDB5DE-A644-CBA6-4DF4-3876A926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5238750"/>
          <a:ext cx="2924583" cy="271500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15</xdr:col>
      <xdr:colOff>190904</xdr:colOff>
      <xdr:row>55</xdr:row>
      <xdr:rowOff>114784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19DD6CC-D148-D1C7-7200-5044AD1C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15175" y="8172450"/>
          <a:ext cx="2896004" cy="346758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14</xdr:col>
      <xdr:colOff>409915</xdr:colOff>
      <xdr:row>69</xdr:row>
      <xdr:rowOff>133690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3E83F7F-7145-76EA-A10A-4BA8D9F3B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15175" y="12153900"/>
          <a:ext cx="2438740" cy="243874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58</xdr:row>
      <xdr:rowOff>0</xdr:rowOff>
    </xdr:from>
    <xdr:to>
      <xdr:col>18</xdr:col>
      <xdr:colOff>609968</xdr:colOff>
      <xdr:row>69</xdr:row>
      <xdr:rowOff>162269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BFD1927-AC1D-86BD-371D-EB21CF6DD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20275" y="12153900"/>
          <a:ext cx="2638793" cy="246731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72</xdr:row>
      <xdr:rowOff>0</xdr:rowOff>
    </xdr:from>
    <xdr:to>
      <xdr:col>21</xdr:col>
      <xdr:colOff>48576</xdr:colOff>
      <xdr:row>77</xdr:row>
      <xdr:rowOff>181146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231A01D8-152F-6C55-0298-7DB151B32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15175" y="15087600"/>
          <a:ext cx="6811326" cy="122889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79</xdr:row>
      <xdr:rowOff>0</xdr:rowOff>
    </xdr:from>
    <xdr:to>
      <xdr:col>16</xdr:col>
      <xdr:colOff>67156</xdr:colOff>
      <xdr:row>92</xdr:row>
      <xdr:rowOff>76591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A1C5F04-84C9-9DC7-F3DB-A366AE3AF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15175" y="16554450"/>
          <a:ext cx="3448531" cy="28007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6</xdr:col>
      <xdr:colOff>654050</xdr:colOff>
      <xdr:row>0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5130800" y="0"/>
          <a:ext cx="654050" cy="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0</xdr:row>
      <xdr:rowOff>0</xdr:rowOff>
    </xdr:from>
    <xdr:to>
      <xdr:col>6</xdr:col>
      <xdr:colOff>463550</xdr:colOff>
      <xdr:row>0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5257800" y="0"/>
          <a:ext cx="336550" cy="0"/>
        </a:xfrm>
        <a:prstGeom prst="smileyFace">
          <a:avLst>
            <a:gd name="adj" fmla="val 465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107950</xdr:colOff>
      <xdr:row>0</xdr:row>
      <xdr:rowOff>0</xdr:rowOff>
    </xdr:from>
    <xdr:to>
      <xdr:col>7</xdr:col>
      <xdr:colOff>469900</xdr:colOff>
      <xdr:row>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5899150" y="0"/>
          <a:ext cx="361950" cy="0"/>
        </a:xfrm>
        <a:custGeom>
          <a:avLst/>
          <a:gdLst>
            <a:gd name="G0" fmla="+- 5400 0 0"/>
            <a:gd name="G1" fmla="+- 21600 0 5400"/>
            <a:gd name="G2" fmla="+- 21600 0 5400"/>
            <a:gd name="G3" fmla="*/ G0 2929 10000"/>
            <a:gd name="G4" fmla="+- 21600 0 G3"/>
            <a:gd name="G5" fmla="+- 21600 0 G3"/>
            <a:gd name="T0" fmla="*/ 10800 w 21600"/>
            <a:gd name="T1" fmla="*/ 0 h 21600"/>
            <a:gd name="T2" fmla="*/ 3163 w 21600"/>
            <a:gd name="T3" fmla="*/ 3163 h 21600"/>
            <a:gd name="T4" fmla="*/ 0 w 21600"/>
            <a:gd name="T5" fmla="*/ 10800 h 21600"/>
            <a:gd name="T6" fmla="*/ 3163 w 21600"/>
            <a:gd name="T7" fmla="*/ 18437 h 21600"/>
            <a:gd name="T8" fmla="*/ 10800 w 21600"/>
            <a:gd name="T9" fmla="*/ 21600 h 21600"/>
            <a:gd name="T10" fmla="*/ 18437 w 21600"/>
            <a:gd name="T11" fmla="*/ 18437 h 21600"/>
            <a:gd name="T12" fmla="*/ 21600 w 21600"/>
            <a:gd name="T13" fmla="*/ 10800 h 21600"/>
            <a:gd name="T14" fmla="*/ 18437 w 21600"/>
            <a:gd name="T15" fmla="*/ 3163 h 21600"/>
            <a:gd name="T16" fmla="*/ 3163 w 21600"/>
            <a:gd name="T17" fmla="*/ 3163 h 21600"/>
            <a:gd name="T18" fmla="*/ 18437 w 21600"/>
            <a:gd name="T19" fmla="*/ 18437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T16" t="T17" r="T18" b="T19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107950</xdr:colOff>
      <xdr:row>0</xdr:row>
      <xdr:rowOff>0</xdr:rowOff>
    </xdr:from>
    <xdr:to>
      <xdr:col>7</xdr:col>
      <xdr:colOff>482600</xdr:colOff>
      <xdr:row>0</xdr:row>
      <xdr:rowOff>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5899150" y="0"/>
          <a:ext cx="374650" cy="0"/>
        </a:xfrm>
        <a:prstGeom prst="su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0</xdr:rowOff>
        </xdr:from>
        <xdr:to>
          <xdr:col>7</xdr:col>
          <xdr:colOff>0</xdr:colOff>
          <xdr:row>0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쉼표유형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0</xdr:rowOff>
        </xdr:from>
        <xdr:to>
          <xdr:col>7</xdr:col>
          <xdr:colOff>0</xdr:colOff>
          <xdr:row>0</xdr:row>
          <xdr:rowOff>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테두리</a:t>
              </a:r>
            </a:p>
          </xdr:txBody>
        </xdr:sp>
        <xdr:clientData fPrintsWithSheet="0"/>
      </xdr:twoCellAnchor>
    </mc:Choice>
    <mc:Fallback/>
  </mc:AlternateContent>
  <xdr:twoCellAnchor>
    <xdr:from>
      <xdr:col>1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19050</xdr:colOff>
      <xdr:row>1</xdr:row>
      <xdr:rowOff>85725</xdr:rowOff>
    </xdr:from>
    <xdr:ext cx="7486152" cy="223792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6238875" y="295275"/>
          <a:ext cx="7486152" cy="22379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cap="none" spc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1)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이익금액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계열만 차트에 표시도도록 데이터 범위를 지정하시오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.</a:t>
          </a: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2)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차트 종류를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원형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으로 변경하시오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.</a:t>
          </a: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3)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차트 제목을 차트 위로 추가하여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이익금액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으로 입력하고 글꼴색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표준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-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노랑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 ,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채우기 색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표준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-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파랑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으로 지정하시오</a:t>
          </a:r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4)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차트에 데이터 레이블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값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과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항목이름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을 표시하고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, 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레이블의 위치를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바깥쪽 끝에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'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로 지정하시오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.</a:t>
          </a:r>
        </a:p>
        <a:p>
          <a:endParaRPr lang="en-US" altLang="ko-KR" sz="1100" b="0" cap="none" spc="0" baseline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  <a:p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5)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첫째 조각의 각을 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45</a:t>
          </a:r>
          <a:r>
            <a:rPr lang="ko-KR" altLang="en-US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도로 지정하시오</a:t>
          </a:r>
          <a:r>
            <a:rPr lang="en-US" altLang="ko-KR" sz="1100" b="0" cap="none" spc="0" baseline="0">
              <a:ln w="0"/>
              <a:solidFill>
                <a:sysClr val="windowText" lastClr="000000"/>
              </a:solidFill>
              <a:effectLst/>
              <a:latin typeface="함초롬바탕" panose="02030604000101010101" pitchFamily="18" charset="-127"/>
              <a:ea typeface="함초롬바탕" panose="02030604000101010101" pitchFamily="18" charset="-127"/>
              <a:cs typeface="함초롬바탕" panose="02030604000101010101" pitchFamily="18" charset="-127"/>
            </a:rPr>
            <a:t>.</a:t>
          </a:r>
          <a:endParaRPr lang="ko-KR" altLang="en-US" sz="1100" b="0" cap="none" spc="0">
            <a:ln w="0"/>
            <a:solidFill>
              <a:sysClr val="windowText" lastClr="000000"/>
            </a:solidFill>
            <a:effectLst/>
            <a:latin typeface="함초롬바탕" panose="02030604000101010101" pitchFamily="18" charset="-127"/>
            <a:ea typeface="함초롬바탕" panose="02030604000101010101" pitchFamily="18" charset="-127"/>
            <a:cs typeface="함초롬바탕" panose="02030604000101010101" pitchFamily="18" charset="-127"/>
          </a:endParaRPr>
        </a:p>
      </xdr:txBody>
    </xdr:sp>
    <xdr:clientData/>
  </xdr:oneCellAnchor>
  <xdr:twoCellAnchor editAs="oneCell">
    <xdr:from>
      <xdr:col>9</xdr:col>
      <xdr:colOff>9525</xdr:colOff>
      <xdr:row>13</xdr:row>
      <xdr:rowOff>81915</xdr:rowOff>
    </xdr:from>
    <xdr:to>
      <xdr:col>16</xdr:col>
      <xdr:colOff>367665</xdr:colOff>
      <xdr:row>29</xdr:row>
      <xdr:rowOff>42766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9350" y="2806065"/>
          <a:ext cx="4958715" cy="331365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A3605655-69B8-4B67-B4DA-56D302699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6</xdr:col>
      <xdr:colOff>654050</xdr:colOff>
      <xdr:row>0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4236720" y="0"/>
          <a:ext cx="654050" cy="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0</xdr:row>
      <xdr:rowOff>0</xdr:rowOff>
    </xdr:from>
    <xdr:to>
      <xdr:col>6</xdr:col>
      <xdr:colOff>463550</xdr:colOff>
      <xdr:row>0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4363720" y="0"/>
          <a:ext cx="336550" cy="0"/>
        </a:xfrm>
        <a:prstGeom prst="smileyFace">
          <a:avLst>
            <a:gd name="adj" fmla="val 465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107950</xdr:colOff>
      <xdr:row>0</xdr:row>
      <xdr:rowOff>0</xdr:rowOff>
    </xdr:from>
    <xdr:to>
      <xdr:col>7</xdr:col>
      <xdr:colOff>469900</xdr:colOff>
      <xdr:row>0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4999990" y="0"/>
          <a:ext cx="361950" cy="0"/>
        </a:xfrm>
        <a:custGeom>
          <a:avLst/>
          <a:gdLst>
            <a:gd name="G0" fmla="+- 5400 0 0"/>
            <a:gd name="G1" fmla="+- 21600 0 5400"/>
            <a:gd name="G2" fmla="+- 21600 0 5400"/>
            <a:gd name="G3" fmla="*/ G0 2929 10000"/>
            <a:gd name="G4" fmla="+- 21600 0 G3"/>
            <a:gd name="G5" fmla="+- 21600 0 G3"/>
            <a:gd name="T0" fmla="*/ 10800 w 21600"/>
            <a:gd name="T1" fmla="*/ 0 h 21600"/>
            <a:gd name="T2" fmla="*/ 3163 w 21600"/>
            <a:gd name="T3" fmla="*/ 3163 h 21600"/>
            <a:gd name="T4" fmla="*/ 0 w 21600"/>
            <a:gd name="T5" fmla="*/ 10800 h 21600"/>
            <a:gd name="T6" fmla="*/ 3163 w 21600"/>
            <a:gd name="T7" fmla="*/ 18437 h 21600"/>
            <a:gd name="T8" fmla="*/ 10800 w 21600"/>
            <a:gd name="T9" fmla="*/ 21600 h 21600"/>
            <a:gd name="T10" fmla="*/ 18437 w 21600"/>
            <a:gd name="T11" fmla="*/ 18437 h 21600"/>
            <a:gd name="T12" fmla="*/ 21600 w 21600"/>
            <a:gd name="T13" fmla="*/ 10800 h 21600"/>
            <a:gd name="T14" fmla="*/ 18437 w 21600"/>
            <a:gd name="T15" fmla="*/ 3163 h 21600"/>
            <a:gd name="T16" fmla="*/ 3163 w 21600"/>
            <a:gd name="T17" fmla="*/ 3163 h 21600"/>
            <a:gd name="T18" fmla="*/ 18437 w 21600"/>
            <a:gd name="T19" fmla="*/ 18437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T16" t="T17" r="T18" b="T19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107950</xdr:colOff>
      <xdr:row>0</xdr:row>
      <xdr:rowOff>0</xdr:rowOff>
    </xdr:from>
    <xdr:to>
      <xdr:col>7</xdr:col>
      <xdr:colOff>482600</xdr:colOff>
      <xdr:row>0</xdr:row>
      <xdr:rowOff>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4999990" y="0"/>
          <a:ext cx="374650" cy="0"/>
        </a:xfrm>
        <a:prstGeom prst="su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0</xdr:rowOff>
        </xdr:from>
        <xdr:to>
          <xdr:col>7</xdr:col>
          <xdr:colOff>0</xdr:colOff>
          <xdr:row>0</xdr:row>
          <xdr:rowOff>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7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쉼표유형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0</xdr:rowOff>
        </xdr:from>
        <xdr:to>
          <xdr:col>7</xdr:col>
          <xdr:colOff>0</xdr:colOff>
          <xdr:row>0</xdr:row>
          <xdr:rowOff>0</xdr:rowOff>
        </xdr:to>
        <xdr:sp macro="" textlink="">
          <xdr:nvSpPr>
            <xdr:cNvPr id="10242" name="Button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7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테두리</a:t>
              </a:r>
            </a:p>
          </xdr:txBody>
        </xdr:sp>
        <xdr:clientData fPrintsWithSheet="0"/>
      </xdr:twoCellAnchor>
    </mc:Choice>
    <mc:Fallback/>
  </mc:AlternateContent>
  <xdr:twoCellAnchor>
    <xdr:from>
      <xdr:col>1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0</xdr:colOff>
      <xdr:row>2</xdr:row>
      <xdr:rowOff>0</xdr:rowOff>
    </xdr:from>
    <xdr:ext cx="7369710" cy="200080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6248400" y="441960"/>
          <a:ext cx="7369710" cy="2000804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1)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이익금액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계열만 차트에 표시되도록 데이터 범위를 지정하시오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.</a:t>
          </a: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2)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차트 종류를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원형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으로 변경하시오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.</a:t>
          </a: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3)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차트 제목을 차트 위로 추가하여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이익금액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으로 입력하고 글꼴색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표준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-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노랑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 ,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채우기 색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표준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-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파랑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으로 지정하시오</a:t>
          </a:r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4)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차트에 데이터 레이블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값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과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항목이름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을 표시하고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, 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레이블의 위치를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바깥쪽 끝에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'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로 지정하시오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. </a:t>
          </a:r>
        </a:p>
        <a:p>
          <a:endParaRPr lang="en-US" altLang="ko-KR" sz="1100" b="0" cap="none" spc="0" baseline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  <a:p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5)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첫째 조각의 각을 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45</a:t>
          </a:r>
          <a:r>
            <a:rPr lang="ko-KR" altLang="en-US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도로 지정하시오</a:t>
          </a:r>
          <a:r>
            <a:rPr lang="en-US" altLang="ko-KR" sz="11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.</a:t>
          </a:r>
          <a:endParaRPr lang="ko-KR" altLang="en-US" sz="11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  <xdr:twoCellAnchor editAs="oneCell">
    <xdr:from>
      <xdr:col>11</xdr:col>
      <xdr:colOff>0</xdr:colOff>
      <xdr:row>16</xdr:row>
      <xdr:rowOff>0</xdr:rowOff>
    </xdr:from>
    <xdr:to>
      <xdr:col>15</xdr:col>
      <xdr:colOff>381425</xdr:colOff>
      <xdr:row>24</xdr:row>
      <xdr:rowOff>57392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B09B233-D580-77FE-B64D-40B5C0C86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1900" y="3352800"/>
          <a:ext cx="3048425" cy="173379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22</xdr:col>
      <xdr:colOff>229656</xdr:colOff>
      <xdr:row>45</xdr:row>
      <xdr:rowOff>38632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6A9F191-41A9-BC78-3062-49664709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81900" y="5657850"/>
          <a:ext cx="7563906" cy="38105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16</xdr:col>
      <xdr:colOff>190992</xdr:colOff>
      <xdr:row>54</xdr:row>
      <xdr:rowOff>57333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C85036C-096D-F9E8-BD75-F74CC0B68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81900" y="10058400"/>
          <a:ext cx="3524742" cy="13146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57</xdr:row>
      <xdr:rowOff>0</xdr:rowOff>
    </xdr:from>
    <xdr:to>
      <xdr:col>21</xdr:col>
      <xdr:colOff>324826</xdr:colOff>
      <xdr:row>75</xdr:row>
      <xdr:rowOff>162474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4E73F8E-BFE7-CA34-013F-0AD2F04BD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81900" y="11944350"/>
          <a:ext cx="6992326" cy="393437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16</xdr:col>
      <xdr:colOff>200518</xdr:colOff>
      <xdr:row>87</xdr:row>
      <xdr:rowOff>124135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795D524A-43F3-E42A-D617-5D6372932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81900" y="16135350"/>
          <a:ext cx="3534268" cy="2219635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</xdr:colOff>
      <xdr:row>90</xdr:row>
      <xdr:rowOff>66675</xdr:rowOff>
    </xdr:from>
    <xdr:to>
      <xdr:col>15</xdr:col>
      <xdr:colOff>9884</xdr:colOff>
      <xdr:row>103</xdr:row>
      <xdr:rowOff>57529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7BC0D3A-4CCC-512A-8AFD-A14A119D4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86675" y="18926175"/>
          <a:ext cx="2572109" cy="271500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107</xdr:row>
      <xdr:rowOff>0</xdr:rowOff>
    </xdr:from>
    <xdr:to>
      <xdr:col>16</xdr:col>
      <xdr:colOff>267203</xdr:colOff>
      <xdr:row>123</xdr:row>
      <xdr:rowOff>38573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EF7EC31-2AB3-4D0C-F84D-8226BC19C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81900" y="22421850"/>
          <a:ext cx="3600953" cy="339137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107</xdr:row>
      <xdr:rowOff>0</xdr:rowOff>
    </xdr:from>
    <xdr:to>
      <xdr:col>21</xdr:col>
      <xdr:colOff>48004</xdr:colOff>
      <xdr:row>122</xdr:row>
      <xdr:rowOff>76649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7CA3DEA-A07A-EFA5-4A7E-DCDAB073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82400" y="22421850"/>
          <a:ext cx="2715004" cy="32198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wner\Downloads\&#52980;&#54876;1&#44553;&#49892;&#44592;_09&#45380;2&#54924;B&#54805;\09&#45380;2&#54924;1&#44553;B&#5480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0%20&#51089;&#50629;&#49892;%200\&#49345;&#44277;&#54924;&#51032;&#49548;\&#52980;&#54876;%201&#44553;\2009&#45380;%20&#52980;&#54876;%201&#44553;%20&#50641;&#49472;\&#47928;&#51228;%205\&#51221;&#45813;\2009-1&#44553;%20&#51221;&#4581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원자명단"/>
      <sheetName val="사원관리"/>
      <sheetName val="계산작업-1"/>
      <sheetName val="계산작업-2"/>
      <sheetName val="분석작업-1"/>
      <sheetName val="분석작업-2"/>
      <sheetName val="기타작업-1"/>
      <sheetName val="기타작업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취득자명단"/>
      <sheetName val="임대관리"/>
      <sheetName val="계산작업-1"/>
      <sheetName val="계산작업-2"/>
      <sheetName val="시나리오 요약"/>
      <sheetName val="분석작업-1"/>
      <sheetName val="분석작업-2"/>
      <sheetName val="자급율"/>
      <sheetName val="고과점수"/>
      <sheetName val="기타작업-2"/>
    </sheetNames>
    <sheetDataSet>
      <sheetData sheetId="0"/>
      <sheetData sheetId="1"/>
      <sheetData sheetId="2"/>
      <sheetData sheetId="3"/>
      <sheetData sheetId="4"/>
      <sheetData sheetId="5">
        <row r="3">
          <cell r="C3">
            <v>39</v>
          </cell>
        </row>
        <row r="4">
          <cell r="C4" t="str">
            <v>여</v>
          </cell>
        </row>
        <row r="6">
          <cell r="C6" t="str">
            <v>특약2</v>
          </cell>
        </row>
        <row r="7">
          <cell r="D7">
            <v>18200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B1:J27"/>
  <sheetViews>
    <sheetView zoomScale="115" zoomScaleNormal="115" workbookViewId="0">
      <selection activeCell="S20" sqref="S20"/>
    </sheetView>
  </sheetViews>
  <sheetFormatPr defaultRowHeight="16.5"/>
  <cols>
    <col min="1" max="1" width="2.625" customWidth="1"/>
    <col min="2" max="2" width="12.625" customWidth="1"/>
    <col min="3" max="6" width="10.625" customWidth="1"/>
  </cols>
  <sheetData>
    <row r="1" spans="2:6">
      <c r="B1" s="15" t="s">
        <v>9</v>
      </c>
    </row>
    <row r="2" spans="2:6">
      <c r="F2" s="5" t="s">
        <v>10</v>
      </c>
    </row>
    <row r="3" spans="2:6">
      <c r="B3" s="6" t="s">
        <v>49</v>
      </c>
      <c r="C3" s="7" t="s">
        <v>12</v>
      </c>
      <c r="D3" s="7" t="s">
        <v>13</v>
      </c>
      <c r="E3" s="7" t="s">
        <v>14</v>
      </c>
      <c r="F3" s="7" t="s">
        <v>15</v>
      </c>
    </row>
    <row r="4" spans="2:6">
      <c r="B4" s="7" t="s">
        <v>16</v>
      </c>
      <c r="C4" s="8">
        <v>279308</v>
      </c>
      <c r="D4" s="8">
        <v>271046</v>
      </c>
      <c r="E4" s="8">
        <v>280975</v>
      </c>
      <c r="F4" s="8">
        <v>264368</v>
      </c>
    </row>
    <row r="5" spans="2:6">
      <c r="B5" s="7" t="s">
        <v>17</v>
      </c>
      <c r="C5" s="8">
        <v>26318</v>
      </c>
      <c r="D5" s="8">
        <v>11934</v>
      </c>
      <c r="E5" s="8">
        <v>18696</v>
      </c>
      <c r="F5" s="8">
        <v>13701</v>
      </c>
    </row>
    <row r="6" spans="2:6">
      <c r="B6" s="7" t="s">
        <v>18</v>
      </c>
      <c r="C6" s="8">
        <v>6746</v>
      </c>
      <c r="D6" s="8">
        <v>6120</v>
      </c>
      <c r="E6" s="8">
        <v>5754</v>
      </c>
      <c r="F6" s="8">
        <v>5712</v>
      </c>
    </row>
    <row r="7" spans="2:6">
      <c r="B7" s="7" t="s">
        <v>19</v>
      </c>
      <c r="C7" s="8">
        <v>3662</v>
      </c>
      <c r="D7" s="8">
        <v>3341</v>
      </c>
      <c r="E7" s="8">
        <v>3318</v>
      </c>
      <c r="F7" s="8">
        <v>3093</v>
      </c>
    </row>
    <row r="17" spans="10:10" ht="26.25">
      <c r="J17" s="21"/>
    </row>
    <row r="18" spans="10:10">
      <c r="J18" s="22"/>
    </row>
    <row r="19" spans="10:10">
      <c r="J19" s="22"/>
    </row>
    <row r="20" spans="10:10">
      <c r="J20" s="22"/>
    </row>
    <row r="21" spans="10:10">
      <c r="J21" s="22"/>
    </row>
    <row r="22" spans="10:10">
      <c r="J22" s="22"/>
    </row>
    <row r="23" spans="10:10">
      <c r="J23" s="24"/>
    </row>
    <row r="24" spans="10:10">
      <c r="J24" s="22"/>
    </row>
    <row r="25" spans="10:10">
      <c r="J25" s="25"/>
    </row>
    <row r="26" spans="10:10">
      <c r="J26" s="25"/>
    </row>
    <row r="27" spans="10:10">
      <c r="J27" s="26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2"/>
  <sheetViews>
    <sheetView workbookViewId="0">
      <selection activeCell="I23" sqref="I23"/>
    </sheetView>
  </sheetViews>
  <sheetFormatPr defaultRowHeight="16.5"/>
  <cols>
    <col min="1" max="1" width="2.625" customWidth="1"/>
    <col min="2" max="2" width="12.625" customWidth="1"/>
    <col min="3" max="6" width="10.625" customWidth="1"/>
  </cols>
  <sheetData>
    <row r="1" spans="2:6">
      <c r="B1" s="15" t="s">
        <v>9</v>
      </c>
    </row>
    <row r="2" spans="2:6">
      <c r="F2" s="5" t="s">
        <v>10</v>
      </c>
    </row>
    <row r="3" spans="2:6">
      <c r="B3" s="6" t="s">
        <v>11</v>
      </c>
      <c r="C3" s="7" t="s">
        <v>12</v>
      </c>
      <c r="D3" s="7" t="s">
        <v>13</v>
      </c>
      <c r="E3" s="7" t="s">
        <v>14</v>
      </c>
      <c r="F3" s="7" t="s">
        <v>15</v>
      </c>
    </row>
    <row r="4" spans="2:6">
      <c r="B4" s="7" t="s">
        <v>16</v>
      </c>
      <c r="C4" s="8">
        <v>279308</v>
      </c>
      <c r="D4" s="8">
        <v>271046</v>
      </c>
      <c r="E4" s="8">
        <v>280975</v>
      </c>
      <c r="F4" s="8">
        <v>264368</v>
      </c>
    </row>
    <row r="5" spans="2:6">
      <c r="B5" s="7" t="s">
        <v>17</v>
      </c>
      <c r="C5" s="8">
        <v>26318</v>
      </c>
      <c r="D5" s="8">
        <v>11934</v>
      </c>
      <c r="E5" s="8">
        <v>18696</v>
      </c>
      <c r="F5" s="8">
        <v>13701</v>
      </c>
    </row>
    <row r="6" spans="2:6">
      <c r="B6" s="7" t="s">
        <v>18</v>
      </c>
      <c r="C6" s="8">
        <v>6746</v>
      </c>
      <c r="D6" s="8">
        <v>6120</v>
      </c>
      <c r="E6" s="8">
        <v>5754</v>
      </c>
      <c r="F6" s="8">
        <v>5712</v>
      </c>
    </row>
    <row r="7" spans="2:6">
      <c r="B7" s="7" t="s">
        <v>19</v>
      </c>
      <c r="C7" s="8">
        <v>3662</v>
      </c>
      <c r="D7" s="8">
        <v>3341</v>
      </c>
      <c r="E7" s="8">
        <v>3318</v>
      </c>
      <c r="F7" s="8">
        <v>3093</v>
      </c>
    </row>
    <row r="18" spans="11:11" ht="26.25">
      <c r="K18" s="21" t="s">
        <v>50</v>
      </c>
    </row>
    <row r="19" spans="11:11">
      <c r="K19" s="22"/>
    </row>
    <row r="20" spans="11:11">
      <c r="K20" s="22" t="s">
        <v>51</v>
      </c>
    </row>
    <row r="21" spans="11:11">
      <c r="K21" s="22" t="s">
        <v>52</v>
      </c>
    </row>
    <row r="22" spans="11:11">
      <c r="K22" s="22"/>
    </row>
    <row r="23" spans="11:11">
      <c r="K23" s="22" t="s">
        <v>53</v>
      </c>
    </row>
    <row r="24" spans="11:11">
      <c r="K24" s="24" t="s">
        <v>54</v>
      </c>
    </row>
    <row r="25" spans="11:11">
      <c r="K25" s="22" t="s">
        <v>55</v>
      </c>
    </row>
    <row r="26" spans="11:11">
      <c r="K26" s="25" t="s">
        <v>56</v>
      </c>
    </row>
    <row r="27" spans="11:11">
      <c r="K27" s="25" t="s">
        <v>57</v>
      </c>
    </row>
    <row r="28" spans="11:11">
      <c r="K28" s="26" t="s">
        <v>58</v>
      </c>
    </row>
    <row r="45" spans="11:11" ht="26.25">
      <c r="K45" s="21" t="s">
        <v>59</v>
      </c>
    </row>
    <row r="46" spans="11:11">
      <c r="K46" s="22"/>
    </row>
    <row r="47" spans="11:11">
      <c r="K47" s="22" t="s">
        <v>60</v>
      </c>
    </row>
    <row r="48" spans="11:11">
      <c r="K48" s="22" t="s">
        <v>61</v>
      </c>
    </row>
    <row r="49" spans="11:11">
      <c r="K49" s="26" t="s">
        <v>62</v>
      </c>
    </row>
    <row r="50" spans="11:11">
      <c r="K50" s="22" t="s">
        <v>63</v>
      </c>
    </row>
    <row r="52" spans="11:11">
      <c r="K52" s="23" t="s">
        <v>64</v>
      </c>
    </row>
    <row r="53" spans="11:11">
      <c r="K53" s="22"/>
    </row>
    <row r="54" spans="11:11">
      <c r="K54" s="22" t="s">
        <v>65</v>
      </c>
    </row>
    <row r="59" spans="11:11" ht="26.25">
      <c r="K59" s="21" t="s">
        <v>66</v>
      </c>
    </row>
    <row r="61" spans="11:11">
      <c r="K61" t="s">
        <v>67</v>
      </c>
    </row>
    <row r="62" spans="11:11">
      <c r="K62" s="22"/>
    </row>
    <row r="63" spans="11:11">
      <c r="K63" s="22" t="s">
        <v>68</v>
      </c>
    </row>
    <row r="64" spans="11:11">
      <c r="K64" s="22" t="s">
        <v>69</v>
      </c>
    </row>
    <row r="65" spans="11:11">
      <c r="K65" s="22"/>
    </row>
    <row r="66" spans="11:11">
      <c r="K66" s="22" t="s">
        <v>70</v>
      </c>
    </row>
    <row r="67" spans="11:11">
      <c r="K67" s="22" t="s">
        <v>71</v>
      </c>
    </row>
    <row r="68" spans="11:11">
      <c r="K68" s="22"/>
    </row>
    <row r="69" spans="11:11">
      <c r="K69" s="22" t="s">
        <v>72</v>
      </c>
    </row>
    <row r="70" spans="11:11">
      <c r="K70" s="22" t="s">
        <v>73</v>
      </c>
    </row>
    <row r="71" spans="11:11">
      <c r="K71" s="26" t="s">
        <v>74</v>
      </c>
    </row>
    <row r="72" spans="11:11">
      <c r="K72" s="22" t="s">
        <v>75</v>
      </c>
    </row>
    <row r="74" spans="11:11">
      <c r="K74" t="s">
        <v>76</v>
      </c>
    </row>
    <row r="78" spans="11:11" ht="26.25">
      <c r="K78" s="21" t="s">
        <v>77</v>
      </c>
    </row>
    <row r="80" spans="11:11" ht="21.75">
      <c r="K80" s="27" t="s">
        <v>78</v>
      </c>
    </row>
    <row r="81" spans="11:11">
      <c r="K81" s="22"/>
    </row>
    <row r="82" spans="11:11">
      <c r="K82" s="22" t="s">
        <v>79</v>
      </c>
    </row>
    <row r="83" spans="11:11">
      <c r="K83" s="22" t="s">
        <v>80</v>
      </c>
    </row>
    <row r="84" spans="11:11">
      <c r="K84" s="22" t="s">
        <v>81</v>
      </c>
    </row>
    <row r="85" spans="11:11">
      <c r="K85" s="22" t="s">
        <v>82</v>
      </c>
    </row>
    <row r="87" spans="11:11">
      <c r="K87" t="s">
        <v>83</v>
      </c>
    </row>
    <row r="89" spans="11:11" ht="21.75">
      <c r="K89" s="27" t="s">
        <v>84</v>
      </c>
    </row>
    <row r="90" spans="11:11">
      <c r="K90" s="22"/>
    </row>
    <row r="91" spans="11:11">
      <c r="K91" s="22" t="s">
        <v>85</v>
      </c>
    </row>
    <row r="92" spans="11:11">
      <c r="K92" s="24" t="s">
        <v>86</v>
      </c>
    </row>
    <row r="93" spans="11:11">
      <c r="K93" s="22" t="s">
        <v>87</v>
      </c>
    </row>
    <row r="95" spans="11:11">
      <c r="K95" t="s">
        <v>88</v>
      </c>
    </row>
    <row r="102" spans="11:11">
      <c r="K102">
        <v>5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7"/>
  </sheetPr>
  <dimension ref="B1:F6"/>
  <sheetViews>
    <sheetView workbookViewId="0">
      <selection activeCell="F13" sqref="F13"/>
    </sheetView>
  </sheetViews>
  <sheetFormatPr defaultRowHeight="16.5"/>
  <cols>
    <col min="1" max="1" width="2.625" customWidth="1"/>
    <col min="2" max="2" width="15.25" bestFit="1" customWidth="1"/>
  </cols>
  <sheetData>
    <row r="1" spans="2:6">
      <c r="B1" s="15" t="s">
        <v>26</v>
      </c>
    </row>
    <row r="2" spans="2:6">
      <c r="B2" s="1"/>
      <c r="C2" s="1"/>
      <c r="D2" s="1"/>
      <c r="E2" s="1" t="s">
        <v>0</v>
      </c>
    </row>
    <row r="3" spans="2:6">
      <c r="B3" s="2" t="s">
        <v>1</v>
      </c>
      <c r="C3" s="2" t="s">
        <v>6</v>
      </c>
      <c r="D3" s="2" t="s">
        <v>2</v>
      </c>
      <c r="E3" s="2" t="s">
        <v>7</v>
      </c>
      <c r="F3" s="2" t="s">
        <v>8</v>
      </c>
    </row>
    <row r="4" spans="2:6">
      <c r="B4" s="3" t="s">
        <v>3</v>
      </c>
      <c r="C4" s="3">
        <v>47128</v>
      </c>
      <c r="D4" s="3">
        <v>41011</v>
      </c>
      <c r="E4" s="3">
        <v>40549</v>
      </c>
      <c r="F4" s="3">
        <v>47326</v>
      </c>
    </row>
    <row r="5" spans="2:6">
      <c r="B5" s="3" t="s">
        <v>4</v>
      </c>
      <c r="C5" s="4">
        <v>74.5</v>
      </c>
      <c r="D5" s="4">
        <v>71</v>
      </c>
      <c r="E5" s="4">
        <v>78.5</v>
      </c>
      <c r="F5" s="4">
        <v>80.3</v>
      </c>
    </row>
    <row r="6" spans="2:6">
      <c r="B6" s="3" t="s">
        <v>5</v>
      </c>
      <c r="C6" s="3">
        <v>20995</v>
      </c>
      <c r="D6" s="3">
        <v>22647</v>
      </c>
      <c r="E6" s="3">
        <v>26799</v>
      </c>
      <c r="F6" s="3">
        <v>28589</v>
      </c>
    </row>
  </sheetData>
  <sortState xmlns:xlrd2="http://schemas.microsoft.com/office/spreadsheetml/2017/richdata2" ref="C6:F6">
    <sortCondition ref="C6"/>
  </sortState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98"/>
  <sheetViews>
    <sheetView topLeftCell="A10" workbookViewId="0">
      <selection activeCell="H25" sqref="H25"/>
    </sheetView>
  </sheetViews>
  <sheetFormatPr defaultRowHeight="16.5"/>
  <cols>
    <col min="1" max="1" width="2.625" customWidth="1"/>
    <col min="2" max="2" width="15.25" bestFit="1" customWidth="1"/>
  </cols>
  <sheetData>
    <row r="1" spans="2:6">
      <c r="B1" s="15" t="s">
        <v>26</v>
      </c>
    </row>
    <row r="2" spans="2:6">
      <c r="B2" s="1"/>
      <c r="C2" s="1"/>
      <c r="D2" s="1"/>
      <c r="E2" s="1" t="s">
        <v>0</v>
      </c>
    </row>
    <row r="3" spans="2:6">
      <c r="B3" s="2" t="s">
        <v>1</v>
      </c>
      <c r="C3" s="2" t="s">
        <v>6</v>
      </c>
      <c r="D3" s="2" t="s">
        <v>2</v>
      </c>
      <c r="E3" s="2" t="s">
        <v>7</v>
      </c>
      <c r="F3" s="2" t="s">
        <v>8</v>
      </c>
    </row>
    <row r="4" spans="2:6">
      <c r="B4" s="3" t="s">
        <v>3</v>
      </c>
      <c r="C4" s="3">
        <v>47128</v>
      </c>
      <c r="D4" s="3">
        <v>41011</v>
      </c>
      <c r="E4" s="3">
        <v>40549</v>
      </c>
      <c r="F4" s="3">
        <v>47326</v>
      </c>
    </row>
    <row r="5" spans="2:6">
      <c r="B5" s="3" t="s">
        <v>4</v>
      </c>
      <c r="C5" s="4">
        <v>74.5</v>
      </c>
      <c r="D5" s="4">
        <v>71</v>
      </c>
      <c r="E5" s="4">
        <v>78.5</v>
      </c>
      <c r="F5" s="4">
        <v>80.3</v>
      </c>
    </row>
    <row r="6" spans="2:6">
      <c r="B6" s="3" t="s">
        <v>5</v>
      </c>
      <c r="C6" s="3">
        <v>20995</v>
      </c>
      <c r="D6" s="3">
        <v>22647</v>
      </c>
      <c r="E6" s="3">
        <v>26799</v>
      </c>
      <c r="F6" s="3">
        <v>28589</v>
      </c>
    </row>
    <row r="39" spans="21:21">
      <c r="U39" t="s">
        <v>89</v>
      </c>
    </row>
    <row r="63" spans="11:11">
      <c r="K63" t="s">
        <v>90</v>
      </c>
    </row>
    <row r="65" spans="11:11">
      <c r="K65" t="s">
        <v>91</v>
      </c>
    </row>
    <row r="72" spans="11:11">
      <c r="K72">
        <v>5</v>
      </c>
    </row>
    <row r="98" spans="11:11">
      <c r="K98">
        <v>6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B1:G11"/>
  <sheetViews>
    <sheetView topLeftCell="A19" workbookViewId="0">
      <selection activeCell="O36" sqref="O36"/>
    </sheetView>
  </sheetViews>
  <sheetFormatPr defaultColWidth="8.875" defaultRowHeight="16.5"/>
  <cols>
    <col min="1" max="1" width="2.625" style="9" customWidth="1"/>
    <col min="2" max="6" width="8.875" style="9"/>
    <col min="7" max="7" width="10.875" style="9" bestFit="1" customWidth="1"/>
    <col min="8" max="16384" width="8.875" style="9"/>
  </cols>
  <sheetData>
    <row r="1" spans="2:7">
      <c r="B1" s="10" t="s">
        <v>27</v>
      </c>
      <c r="C1" s="10"/>
    </row>
    <row r="2" spans="2:7">
      <c r="C2" s="10"/>
      <c r="D2" s="10"/>
    </row>
    <row r="3" spans="2:7"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1" t="s">
        <v>40</v>
      </c>
    </row>
    <row r="4" spans="2:7">
      <c r="B4" s="11" t="s">
        <v>41</v>
      </c>
      <c r="C4" s="12">
        <v>1500</v>
      </c>
      <c r="D4" s="13">
        <v>1500</v>
      </c>
      <c r="E4" s="13">
        <v>1800</v>
      </c>
      <c r="F4" s="14">
        <f t="shared" ref="F4:F11" si="0">E4/D4</f>
        <v>1.2</v>
      </c>
      <c r="G4" s="20">
        <f t="shared" ref="G4:G11" si="1">C4*E4</f>
        <v>2700000</v>
      </c>
    </row>
    <row r="5" spans="2:7">
      <c r="B5" s="11" t="s">
        <v>42</v>
      </c>
      <c r="C5" s="12">
        <v>500</v>
      </c>
      <c r="D5" s="13">
        <v>1000</v>
      </c>
      <c r="E5" s="13">
        <v>800</v>
      </c>
      <c r="F5" s="14">
        <f t="shared" si="0"/>
        <v>0.8</v>
      </c>
      <c r="G5" s="20">
        <f t="shared" si="1"/>
        <v>400000</v>
      </c>
    </row>
    <row r="6" spans="2:7">
      <c r="B6" s="11" t="s">
        <v>43</v>
      </c>
      <c r="C6" s="12">
        <v>1800</v>
      </c>
      <c r="D6" s="13">
        <v>550</v>
      </c>
      <c r="E6" s="13">
        <v>620</v>
      </c>
      <c r="F6" s="14">
        <f t="shared" si="0"/>
        <v>1.1272727272727272</v>
      </c>
      <c r="G6" s="20">
        <f t="shared" si="1"/>
        <v>1116000</v>
      </c>
    </row>
    <row r="7" spans="2:7">
      <c r="B7" s="11" t="s">
        <v>44</v>
      </c>
      <c r="C7" s="12">
        <v>2000</v>
      </c>
      <c r="D7" s="13">
        <v>2000</v>
      </c>
      <c r="E7" s="13">
        <v>1500</v>
      </c>
      <c r="F7" s="14">
        <f t="shared" si="0"/>
        <v>0.75</v>
      </c>
      <c r="G7" s="20">
        <f t="shared" si="1"/>
        <v>3000000</v>
      </c>
    </row>
    <row r="8" spans="2:7">
      <c r="B8" s="11" t="s">
        <v>45</v>
      </c>
      <c r="C8" s="12">
        <v>1500</v>
      </c>
      <c r="D8" s="13">
        <v>2500</v>
      </c>
      <c r="E8" s="13">
        <v>2000</v>
      </c>
      <c r="F8" s="14">
        <f t="shared" si="0"/>
        <v>0.8</v>
      </c>
      <c r="G8" s="20">
        <f t="shared" si="1"/>
        <v>3000000</v>
      </c>
    </row>
    <row r="9" spans="2:7">
      <c r="B9" s="11" t="s">
        <v>46</v>
      </c>
      <c r="C9" s="12">
        <v>1500</v>
      </c>
      <c r="D9" s="13">
        <v>450</v>
      </c>
      <c r="E9" s="13">
        <v>540</v>
      </c>
      <c r="F9" s="14">
        <f t="shared" si="0"/>
        <v>1.2</v>
      </c>
      <c r="G9" s="20">
        <f t="shared" si="1"/>
        <v>810000</v>
      </c>
    </row>
    <row r="10" spans="2:7">
      <c r="B10" s="11" t="s">
        <v>47</v>
      </c>
      <c r="C10" s="12">
        <v>1000</v>
      </c>
      <c r="D10" s="13">
        <v>600</v>
      </c>
      <c r="E10" s="13">
        <v>800</v>
      </c>
      <c r="F10" s="14">
        <f t="shared" si="0"/>
        <v>1.3333333333333333</v>
      </c>
      <c r="G10" s="20">
        <f t="shared" si="1"/>
        <v>800000</v>
      </c>
    </row>
    <row r="11" spans="2:7">
      <c r="B11" s="11" t="s">
        <v>48</v>
      </c>
      <c r="C11" s="12">
        <v>500</v>
      </c>
      <c r="D11" s="13">
        <v>500</v>
      </c>
      <c r="E11" s="13">
        <v>520</v>
      </c>
      <c r="F11" s="14">
        <f t="shared" si="0"/>
        <v>1.04</v>
      </c>
      <c r="G11" s="20">
        <f t="shared" si="1"/>
        <v>260000</v>
      </c>
    </row>
  </sheetData>
  <phoneticPr fontId="3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73"/>
  <sheetViews>
    <sheetView topLeftCell="A10" workbookViewId="0">
      <selection activeCell="V16" sqref="V16"/>
    </sheetView>
  </sheetViews>
  <sheetFormatPr defaultColWidth="8.875" defaultRowHeight="16.5"/>
  <cols>
    <col min="1" max="1" width="2.625" style="9" customWidth="1"/>
    <col min="2" max="6" width="8.875" style="9"/>
    <col min="7" max="7" width="10.875" style="9" bestFit="1" customWidth="1"/>
    <col min="8" max="16384" width="8.875" style="9"/>
  </cols>
  <sheetData>
    <row r="1" spans="2:11">
      <c r="B1" s="10" t="s">
        <v>27</v>
      </c>
      <c r="C1" s="10"/>
    </row>
    <row r="2" spans="2:11">
      <c r="C2" s="10"/>
      <c r="D2" s="10"/>
    </row>
    <row r="3" spans="2:11"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1" t="s">
        <v>40</v>
      </c>
    </row>
    <row r="4" spans="2:11">
      <c r="B4" s="11" t="s">
        <v>41</v>
      </c>
      <c r="C4" s="12">
        <v>1500</v>
      </c>
      <c r="D4" s="13">
        <v>1500</v>
      </c>
      <c r="E4" s="13">
        <v>1800</v>
      </c>
      <c r="F4" s="14">
        <f t="shared" ref="F4:F11" si="0">E4/D4</f>
        <v>1.2</v>
      </c>
      <c r="G4" s="20">
        <f t="shared" ref="G4:G11" si="1">C4*E4</f>
        <v>2700000</v>
      </c>
    </row>
    <row r="5" spans="2:11">
      <c r="B5" s="11" t="s">
        <v>42</v>
      </c>
      <c r="C5" s="12">
        <v>500</v>
      </c>
      <c r="D5" s="13">
        <v>1000</v>
      </c>
      <c r="E5" s="13">
        <v>800</v>
      </c>
      <c r="F5" s="14">
        <f t="shared" si="0"/>
        <v>0.8</v>
      </c>
      <c r="G5" s="20">
        <f t="shared" si="1"/>
        <v>400000</v>
      </c>
    </row>
    <row r="6" spans="2:11">
      <c r="B6" s="11" t="s">
        <v>43</v>
      </c>
      <c r="C6" s="12">
        <v>1800</v>
      </c>
      <c r="D6" s="13">
        <v>550</v>
      </c>
      <c r="E6" s="13">
        <v>620</v>
      </c>
      <c r="F6" s="14">
        <f t="shared" si="0"/>
        <v>1.1272727272727272</v>
      </c>
      <c r="G6" s="20">
        <f t="shared" si="1"/>
        <v>1116000</v>
      </c>
    </row>
    <row r="7" spans="2:11">
      <c r="B7" s="11" t="s">
        <v>44</v>
      </c>
      <c r="C7" s="12">
        <v>2000</v>
      </c>
      <c r="D7" s="13">
        <v>2000</v>
      </c>
      <c r="E7" s="13">
        <v>1500</v>
      </c>
      <c r="F7" s="14">
        <f t="shared" si="0"/>
        <v>0.75</v>
      </c>
      <c r="G7" s="20">
        <f t="shared" si="1"/>
        <v>3000000</v>
      </c>
    </row>
    <row r="8" spans="2:11">
      <c r="B8" s="11" t="s">
        <v>45</v>
      </c>
      <c r="C8" s="12">
        <v>1500</v>
      </c>
      <c r="D8" s="13">
        <v>2500</v>
      </c>
      <c r="E8" s="13">
        <v>2000</v>
      </c>
      <c r="F8" s="14">
        <f t="shared" si="0"/>
        <v>0.8</v>
      </c>
      <c r="G8" s="20">
        <f t="shared" si="1"/>
        <v>3000000</v>
      </c>
    </row>
    <row r="9" spans="2:11">
      <c r="B9" s="11" t="s">
        <v>46</v>
      </c>
      <c r="C9" s="12">
        <v>1500</v>
      </c>
      <c r="D9" s="13">
        <v>450</v>
      </c>
      <c r="E9" s="13">
        <v>540</v>
      </c>
      <c r="F9" s="14">
        <f t="shared" si="0"/>
        <v>1.2</v>
      </c>
      <c r="G9" s="20">
        <f t="shared" si="1"/>
        <v>810000</v>
      </c>
    </row>
    <row r="10" spans="2:11">
      <c r="B10" s="11" t="s">
        <v>47</v>
      </c>
      <c r="C10" s="12">
        <v>1000</v>
      </c>
      <c r="D10" s="13">
        <v>600</v>
      </c>
      <c r="E10" s="13">
        <v>800</v>
      </c>
      <c r="F10" s="14">
        <f t="shared" si="0"/>
        <v>1.3333333333333333</v>
      </c>
      <c r="G10" s="20">
        <f t="shared" si="1"/>
        <v>800000</v>
      </c>
    </row>
    <row r="11" spans="2:11">
      <c r="B11" s="11" t="s">
        <v>48</v>
      </c>
      <c r="C11" s="12">
        <v>500</v>
      </c>
      <c r="D11" s="13">
        <v>500</v>
      </c>
      <c r="E11" s="13">
        <v>520</v>
      </c>
      <c r="F11" s="14">
        <f t="shared" si="0"/>
        <v>1.04</v>
      </c>
      <c r="G11" s="20">
        <f t="shared" si="1"/>
        <v>260000</v>
      </c>
    </row>
    <row r="15" spans="2:11">
      <c r="K15" s="9">
        <v>1</v>
      </c>
    </row>
    <row r="26" spans="11:13">
      <c r="K26" s="9">
        <v>2</v>
      </c>
      <c r="M26" s="9" t="s">
        <v>92</v>
      </c>
    </row>
    <row r="40" spans="11:11">
      <c r="K40" s="9">
        <v>3</v>
      </c>
    </row>
    <row r="59" spans="11:11">
      <c r="K59" s="9">
        <v>4</v>
      </c>
    </row>
    <row r="73" spans="11:11">
      <c r="K73" s="9">
        <v>5</v>
      </c>
    </row>
  </sheetData>
  <phoneticPr fontId="3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theme="7"/>
  </sheetPr>
  <dimension ref="B1:F10"/>
  <sheetViews>
    <sheetView topLeftCell="A19" workbookViewId="0">
      <selection activeCell="S29" sqref="S29"/>
    </sheetView>
  </sheetViews>
  <sheetFormatPr defaultRowHeight="16.5"/>
  <cols>
    <col min="1" max="1" width="2.625" style="16" customWidth="1"/>
    <col min="2" max="6" width="10.625" style="16" customWidth="1"/>
    <col min="7" max="256" width="8.625" style="16"/>
    <col min="257" max="257" width="9" style="16" customWidth="1"/>
    <col min="258" max="258" width="8.25" style="16" bestFit="1" customWidth="1"/>
    <col min="259" max="260" width="11.625" style="16" bestFit="1" customWidth="1"/>
    <col min="261" max="261" width="15.375" style="16" bestFit="1" customWidth="1"/>
    <col min="262" max="262" width="11.375" style="16" bestFit="1" customWidth="1"/>
    <col min="263" max="512" width="8.625" style="16"/>
    <col min="513" max="513" width="9" style="16" customWidth="1"/>
    <col min="514" max="514" width="8.25" style="16" bestFit="1" customWidth="1"/>
    <col min="515" max="516" width="11.625" style="16" bestFit="1" customWidth="1"/>
    <col min="517" max="517" width="15.375" style="16" bestFit="1" customWidth="1"/>
    <col min="518" max="518" width="11.375" style="16" bestFit="1" customWidth="1"/>
    <col min="519" max="768" width="8.625" style="16"/>
    <col min="769" max="769" width="9" style="16" customWidth="1"/>
    <col min="770" max="770" width="8.25" style="16" bestFit="1" customWidth="1"/>
    <col min="771" max="772" width="11.625" style="16" bestFit="1" customWidth="1"/>
    <col min="773" max="773" width="15.375" style="16" bestFit="1" customWidth="1"/>
    <col min="774" max="774" width="11.375" style="16" bestFit="1" customWidth="1"/>
    <col min="775" max="1024" width="8.625" style="16"/>
    <col min="1025" max="1025" width="9" style="16" customWidth="1"/>
    <col min="1026" max="1026" width="8.25" style="16" bestFit="1" customWidth="1"/>
    <col min="1027" max="1028" width="11.625" style="16" bestFit="1" customWidth="1"/>
    <col min="1029" max="1029" width="15.375" style="16" bestFit="1" customWidth="1"/>
    <col min="1030" max="1030" width="11.375" style="16" bestFit="1" customWidth="1"/>
    <col min="1031" max="1280" width="8.625" style="16"/>
    <col min="1281" max="1281" width="9" style="16" customWidth="1"/>
    <col min="1282" max="1282" width="8.25" style="16" bestFit="1" customWidth="1"/>
    <col min="1283" max="1284" width="11.625" style="16" bestFit="1" customWidth="1"/>
    <col min="1285" max="1285" width="15.375" style="16" bestFit="1" customWidth="1"/>
    <col min="1286" max="1286" width="11.375" style="16" bestFit="1" customWidth="1"/>
    <col min="1287" max="1536" width="8.625" style="16"/>
    <col min="1537" max="1537" width="9" style="16" customWidth="1"/>
    <col min="1538" max="1538" width="8.25" style="16" bestFit="1" customWidth="1"/>
    <col min="1539" max="1540" width="11.625" style="16" bestFit="1" customWidth="1"/>
    <col min="1541" max="1541" width="15.375" style="16" bestFit="1" customWidth="1"/>
    <col min="1542" max="1542" width="11.375" style="16" bestFit="1" customWidth="1"/>
    <col min="1543" max="1792" width="8.625" style="16"/>
    <col min="1793" max="1793" width="9" style="16" customWidth="1"/>
    <col min="1794" max="1794" width="8.25" style="16" bestFit="1" customWidth="1"/>
    <col min="1795" max="1796" width="11.625" style="16" bestFit="1" customWidth="1"/>
    <col min="1797" max="1797" width="15.375" style="16" bestFit="1" customWidth="1"/>
    <col min="1798" max="1798" width="11.375" style="16" bestFit="1" customWidth="1"/>
    <col min="1799" max="2048" width="8.625" style="16"/>
    <col min="2049" max="2049" width="9" style="16" customWidth="1"/>
    <col min="2050" max="2050" width="8.25" style="16" bestFit="1" customWidth="1"/>
    <col min="2051" max="2052" width="11.625" style="16" bestFit="1" customWidth="1"/>
    <col min="2053" max="2053" width="15.375" style="16" bestFit="1" customWidth="1"/>
    <col min="2054" max="2054" width="11.375" style="16" bestFit="1" customWidth="1"/>
    <col min="2055" max="2304" width="8.625" style="16"/>
    <col min="2305" max="2305" width="9" style="16" customWidth="1"/>
    <col min="2306" max="2306" width="8.25" style="16" bestFit="1" customWidth="1"/>
    <col min="2307" max="2308" width="11.625" style="16" bestFit="1" customWidth="1"/>
    <col min="2309" max="2309" width="15.375" style="16" bestFit="1" customWidth="1"/>
    <col min="2310" max="2310" width="11.375" style="16" bestFit="1" customWidth="1"/>
    <col min="2311" max="2560" width="8.625" style="16"/>
    <col min="2561" max="2561" width="9" style="16" customWidth="1"/>
    <col min="2562" max="2562" width="8.25" style="16" bestFit="1" customWidth="1"/>
    <col min="2563" max="2564" width="11.625" style="16" bestFit="1" customWidth="1"/>
    <col min="2565" max="2565" width="15.375" style="16" bestFit="1" customWidth="1"/>
    <col min="2566" max="2566" width="11.375" style="16" bestFit="1" customWidth="1"/>
    <col min="2567" max="2816" width="8.625" style="16"/>
    <col min="2817" max="2817" width="9" style="16" customWidth="1"/>
    <col min="2818" max="2818" width="8.25" style="16" bestFit="1" customWidth="1"/>
    <col min="2819" max="2820" width="11.625" style="16" bestFit="1" customWidth="1"/>
    <col min="2821" max="2821" width="15.375" style="16" bestFit="1" customWidth="1"/>
    <col min="2822" max="2822" width="11.375" style="16" bestFit="1" customWidth="1"/>
    <col min="2823" max="3072" width="8.625" style="16"/>
    <col min="3073" max="3073" width="9" style="16" customWidth="1"/>
    <col min="3074" max="3074" width="8.25" style="16" bestFit="1" customWidth="1"/>
    <col min="3075" max="3076" width="11.625" style="16" bestFit="1" customWidth="1"/>
    <col min="3077" max="3077" width="15.375" style="16" bestFit="1" customWidth="1"/>
    <col min="3078" max="3078" width="11.375" style="16" bestFit="1" customWidth="1"/>
    <col min="3079" max="3328" width="8.625" style="16"/>
    <col min="3329" max="3329" width="9" style="16" customWidth="1"/>
    <col min="3330" max="3330" width="8.25" style="16" bestFit="1" customWidth="1"/>
    <col min="3331" max="3332" width="11.625" style="16" bestFit="1" customWidth="1"/>
    <col min="3333" max="3333" width="15.375" style="16" bestFit="1" customWidth="1"/>
    <col min="3334" max="3334" width="11.375" style="16" bestFit="1" customWidth="1"/>
    <col min="3335" max="3584" width="8.625" style="16"/>
    <col min="3585" max="3585" width="9" style="16" customWidth="1"/>
    <col min="3586" max="3586" width="8.25" style="16" bestFit="1" customWidth="1"/>
    <col min="3587" max="3588" width="11.625" style="16" bestFit="1" customWidth="1"/>
    <col min="3589" max="3589" width="15.375" style="16" bestFit="1" customWidth="1"/>
    <col min="3590" max="3590" width="11.375" style="16" bestFit="1" customWidth="1"/>
    <col min="3591" max="3840" width="8.625" style="16"/>
    <col min="3841" max="3841" width="9" style="16" customWidth="1"/>
    <col min="3842" max="3842" width="8.25" style="16" bestFit="1" customWidth="1"/>
    <col min="3843" max="3844" width="11.625" style="16" bestFit="1" customWidth="1"/>
    <col min="3845" max="3845" width="15.375" style="16" bestFit="1" customWidth="1"/>
    <col min="3846" max="3846" width="11.375" style="16" bestFit="1" customWidth="1"/>
    <col min="3847" max="4096" width="8.625" style="16"/>
    <col min="4097" max="4097" width="9" style="16" customWidth="1"/>
    <col min="4098" max="4098" width="8.25" style="16" bestFit="1" customWidth="1"/>
    <col min="4099" max="4100" width="11.625" style="16" bestFit="1" customWidth="1"/>
    <col min="4101" max="4101" width="15.375" style="16" bestFit="1" customWidth="1"/>
    <col min="4102" max="4102" width="11.375" style="16" bestFit="1" customWidth="1"/>
    <col min="4103" max="4352" width="8.625" style="16"/>
    <col min="4353" max="4353" width="9" style="16" customWidth="1"/>
    <col min="4354" max="4354" width="8.25" style="16" bestFit="1" customWidth="1"/>
    <col min="4355" max="4356" width="11.625" style="16" bestFit="1" customWidth="1"/>
    <col min="4357" max="4357" width="15.375" style="16" bestFit="1" customWidth="1"/>
    <col min="4358" max="4358" width="11.375" style="16" bestFit="1" customWidth="1"/>
    <col min="4359" max="4608" width="8.625" style="16"/>
    <col min="4609" max="4609" width="9" style="16" customWidth="1"/>
    <col min="4610" max="4610" width="8.25" style="16" bestFit="1" customWidth="1"/>
    <col min="4611" max="4612" width="11.625" style="16" bestFit="1" customWidth="1"/>
    <col min="4613" max="4613" width="15.375" style="16" bestFit="1" customWidth="1"/>
    <col min="4614" max="4614" width="11.375" style="16" bestFit="1" customWidth="1"/>
    <col min="4615" max="4864" width="8.625" style="16"/>
    <col min="4865" max="4865" width="9" style="16" customWidth="1"/>
    <col min="4866" max="4866" width="8.25" style="16" bestFit="1" customWidth="1"/>
    <col min="4867" max="4868" width="11.625" style="16" bestFit="1" customWidth="1"/>
    <col min="4869" max="4869" width="15.375" style="16" bestFit="1" customWidth="1"/>
    <col min="4870" max="4870" width="11.375" style="16" bestFit="1" customWidth="1"/>
    <col min="4871" max="5120" width="8.625" style="16"/>
    <col min="5121" max="5121" width="9" style="16" customWidth="1"/>
    <col min="5122" max="5122" width="8.25" style="16" bestFit="1" customWidth="1"/>
    <col min="5123" max="5124" width="11.625" style="16" bestFit="1" customWidth="1"/>
    <col min="5125" max="5125" width="15.375" style="16" bestFit="1" customWidth="1"/>
    <col min="5126" max="5126" width="11.375" style="16" bestFit="1" customWidth="1"/>
    <col min="5127" max="5376" width="8.625" style="16"/>
    <col min="5377" max="5377" width="9" style="16" customWidth="1"/>
    <col min="5378" max="5378" width="8.25" style="16" bestFit="1" customWidth="1"/>
    <col min="5379" max="5380" width="11.625" style="16" bestFit="1" customWidth="1"/>
    <col min="5381" max="5381" width="15.375" style="16" bestFit="1" customWidth="1"/>
    <col min="5382" max="5382" width="11.375" style="16" bestFit="1" customWidth="1"/>
    <col min="5383" max="5632" width="8.625" style="16"/>
    <col min="5633" max="5633" width="9" style="16" customWidth="1"/>
    <col min="5634" max="5634" width="8.25" style="16" bestFit="1" customWidth="1"/>
    <col min="5635" max="5636" width="11.625" style="16" bestFit="1" customWidth="1"/>
    <col min="5637" max="5637" width="15.375" style="16" bestFit="1" customWidth="1"/>
    <col min="5638" max="5638" width="11.375" style="16" bestFit="1" customWidth="1"/>
    <col min="5639" max="5888" width="8.625" style="16"/>
    <col min="5889" max="5889" width="9" style="16" customWidth="1"/>
    <col min="5890" max="5890" width="8.25" style="16" bestFit="1" customWidth="1"/>
    <col min="5891" max="5892" width="11.625" style="16" bestFit="1" customWidth="1"/>
    <col min="5893" max="5893" width="15.375" style="16" bestFit="1" customWidth="1"/>
    <col min="5894" max="5894" width="11.375" style="16" bestFit="1" customWidth="1"/>
    <col min="5895" max="6144" width="8.625" style="16"/>
    <col min="6145" max="6145" width="9" style="16" customWidth="1"/>
    <col min="6146" max="6146" width="8.25" style="16" bestFit="1" customWidth="1"/>
    <col min="6147" max="6148" width="11.625" style="16" bestFit="1" customWidth="1"/>
    <col min="6149" max="6149" width="15.375" style="16" bestFit="1" customWidth="1"/>
    <col min="6150" max="6150" width="11.375" style="16" bestFit="1" customWidth="1"/>
    <col min="6151" max="6400" width="8.625" style="16"/>
    <col min="6401" max="6401" width="9" style="16" customWidth="1"/>
    <col min="6402" max="6402" width="8.25" style="16" bestFit="1" customWidth="1"/>
    <col min="6403" max="6404" width="11.625" style="16" bestFit="1" customWidth="1"/>
    <col min="6405" max="6405" width="15.375" style="16" bestFit="1" customWidth="1"/>
    <col min="6406" max="6406" width="11.375" style="16" bestFit="1" customWidth="1"/>
    <col min="6407" max="6656" width="8.625" style="16"/>
    <col min="6657" max="6657" width="9" style="16" customWidth="1"/>
    <col min="6658" max="6658" width="8.25" style="16" bestFit="1" customWidth="1"/>
    <col min="6659" max="6660" width="11.625" style="16" bestFit="1" customWidth="1"/>
    <col min="6661" max="6661" width="15.375" style="16" bestFit="1" customWidth="1"/>
    <col min="6662" max="6662" width="11.375" style="16" bestFit="1" customWidth="1"/>
    <col min="6663" max="6912" width="8.625" style="16"/>
    <col min="6913" max="6913" width="9" style="16" customWidth="1"/>
    <col min="6914" max="6914" width="8.25" style="16" bestFit="1" customWidth="1"/>
    <col min="6915" max="6916" width="11.625" style="16" bestFit="1" customWidth="1"/>
    <col min="6917" max="6917" width="15.375" style="16" bestFit="1" customWidth="1"/>
    <col min="6918" max="6918" width="11.375" style="16" bestFit="1" customWidth="1"/>
    <col min="6919" max="7168" width="8.625" style="16"/>
    <col min="7169" max="7169" width="9" style="16" customWidth="1"/>
    <col min="7170" max="7170" width="8.25" style="16" bestFit="1" customWidth="1"/>
    <col min="7171" max="7172" width="11.625" style="16" bestFit="1" customWidth="1"/>
    <col min="7173" max="7173" width="15.375" style="16" bestFit="1" customWidth="1"/>
    <col min="7174" max="7174" width="11.375" style="16" bestFit="1" customWidth="1"/>
    <col min="7175" max="7424" width="8.625" style="16"/>
    <col min="7425" max="7425" width="9" style="16" customWidth="1"/>
    <col min="7426" max="7426" width="8.25" style="16" bestFit="1" customWidth="1"/>
    <col min="7427" max="7428" width="11.625" style="16" bestFit="1" customWidth="1"/>
    <col min="7429" max="7429" width="15.375" style="16" bestFit="1" customWidth="1"/>
    <col min="7430" max="7430" width="11.375" style="16" bestFit="1" customWidth="1"/>
    <col min="7431" max="7680" width="8.625" style="16"/>
    <col min="7681" max="7681" width="9" style="16" customWidth="1"/>
    <col min="7682" max="7682" width="8.25" style="16" bestFit="1" customWidth="1"/>
    <col min="7683" max="7684" width="11.625" style="16" bestFit="1" customWidth="1"/>
    <col min="7685" max="7685" width="15.375" style="16" bestFit="1" customWidth="1"/>
    <col min="7686" max="7686" width="11.375" style="16" bestFit="1" customWidth="1"/>
    <col min="7687" max="7936" width="8.625" style="16"/>
    <col min="7937" max="7937" width="9" style="16" customWidth="1"/>
    <col min="7938" max="7938" width="8.25" style="16" bestFit="1" customWidth="1"/>
    <col min="7939" max="7940" width="11.625" style="16" bestFit="1" customWidth="1"/>
    <col min="7941" max="7941" width="15.375" style="16" bestFit="1" customWidth="1"/>
    <col min="7942" max="7942" width="11.375" style="16" bestFit="1" customWidth="1"/>
    <col min="7943" max="8192" width="8.625" style="16"/>
    <col min="8193" max="8193" width="9" style="16" customWidth="1"/>
    <col min="8194" max="8194" width="8.25" style="16" bestFit="1" customWidth="1"/>
    <col min="8195" max="8196" width="11.625" style="16" bestFit="1" customWidth="1"/>
    <col min="8197" max="8197" width="15.375" style="16" bestFit="1" customWidth="1"/>
    <col min="8198" max="8198" width="11.375" style="16" bestFit="1" customWidth="1"/>
    <col min="8199" max="8448" width="8.625" style="16"/>
    <col min="8449" max="8449" width="9" style="16" customWidth="1"/>
    <col min="8450" max="8450" width="8.25" style="16" bestFit="1" customWidth="1"/>
    <col min="8451" max="8452" width="11.625" style="16" bestFit="1" customWidth="1"/>
    <col min="8453" max="8453" width="15.375" style="16" bestFit="1" customWidth="1"/>
    <col min="8454" max="8454" width="11.375" style="16" bestFit="1" customWidth="1"/>
    <col min="8455" max="8704" width="8.625" style="16"/>
    <col min="8705" max="8705" width="9" style="16" customWidth="1"/>
    <col min="8706" max="8706" width="8.25" style="16" bestFit="1" customWidth="1"/>
    <col min="8707" max="8708" width="11.625" style="16" bestFit="1" customWidth="1"/>
    <col min="8709" max="8709" width="15.375" style="16" bestFit="1" customWidth="1"/>
    <col min="8710" max="8710" width="11.375" style="16" bestFit="1" customWidth="1"/>
    <col min="8711" max="8960" width="8.625" style="16"/>
    <col min="8961" max="8961" width="9" style="16" customWidth="1"/>
    <col min="8962" max="8962" width="8.25" style="16" bestFit="1" customWidth="1"/>
    <col min="8963" max="8964" width="11.625" style="16" bestFit="1" customWidth="1"/>
    <col min="8965" max="8965" width="15.375" style="16" bestFit="1" customWidth="1"/>
    <col min="8966" max="8966" width="11.375" style="16" bestFit="1" customWidth="1"/>
    <col min="8967" max="9216" width="8.625" style="16"/>
    <col min="9217" max="9217" width="9" style="16" customWidth="1"/>
    <col min="9218" max="9218" width="8.25" style="16" bestFit="1" customWidth="1"/>
    <col min="9219" max="9220" width="11.625" style="16" bestFit="1" customWidth="1"/>
    <col min="9221" max="9221" width="15.375" style="16" bestFit="1" customWidth="1"/>
    <col min="9222" max="9222" width="11.375" style="16" bestFit="1" customWidth="1"/>
    <col min="9223" max="9472" width="8.625" style="16"/>
    <col min="9473" max="9473" width="9" style="16" customWidth="1"/>
    <col min="9474" max="9474" width="8.25" style="16" bestFit="1" customWidth="1"/>
    <col min="9475" max="9476" width="11.625" style="16" bestFit="1" customWidth="1"/>
    <col min="9477" max="9477" width="15.375" style="16" bestFit="1" customWidth="1"/>
    <col min="9478" max="9478" width="11.375" style="16" bestFit="1" customWidth="1"/>
    <col min="9479" max="9728" width="8.625" style="16"/>
    <col min="9729" max="9729" width="9" style="16" customWidth="1"/>
    <col min="9730" max="9730" width="8.25" style="16" bestFit="1" customWidth="1"/>
    <col min="9731" max="9732" width="11.625" style="16" bestFit="1" customWidth="1"/>
    <col min="9733" max="9733" width="15.375" style="16" bestFit="1" customWidth="1"/>
    <col min="9734" max="9734" width="11.375" style="16" bestFit="1" customWidth="1"/>
    <col min="9735" max="9984" width="8.625" style="16"/>
    <col min="9985" max="9985" width="9" style="16" customWidth="1"/>
    <col min="9986" max="9986" width="8.25" style="16" bestFit="1" customWidth="1"/>
    <col min="9987" max="9988" width="11.625" style="16" bestFit="1" customWidth="1"/>
    <col min="9989" max="9989" width="15.375" style="16" bestFit="1" customWidth="1"/>
    <col min="9990" max="9990" width="11.375" style="16" bestFit="1" customWidth="1"/>
    <col min="9991" max="10240" width="8.625" style="16"/>
    <col min="10241" max="10241" width="9" style="16" customWidth="1"/>
    <col min="10242" max="10242" width="8.25" style="16" bestFit="1" customWidth="1"/>
    <col min="10243" max="10244" width="11.625" style="16" bestFit="1" customWidth="1"/>
    <col min="10245" max="10245" width="15.375" style="16" bestFit="1" customWidth="1"/>
    <col min="10246" max="10246" width="11.375" style="16" bestFit="1" customWidth="1"/>
    <col min="10247" max="10496" width="8.625" style="16"/>
    <col min="10497" max="10497" width="9" style="16" customWidth="1"/>
    <col min="10498" max="10498" width="8.25" style="16" bestFit="1" customWidth="1"/>
    <col min="10499" max="10500" width="11.625" style="16" bestFit="1" customWidth="1"/>
    <col min="10501" max="10501" width="15.375" style="16" bestFit="1" customWidth="1"/>
    <col min="10502" max="10502" width="11.375" style="16" bestFit="1" customWidth="1"/>
    <col min="10503" max="10752" width="8.625" style="16"/>
    <col min="10753" max="10753" width="9" style="16" customWidth="1"/>
    <col min="10754" max="10754" width="8.25" style="16" bestFit="1" customWidth="1"/>
    <col min="10755" max="10756" width="11.625" style="16" bestFit="1" customWidth="1"/>
    <col min="10757" max="10757" width="15.375" style="16" bestFit="1" customWidth="1"/>
    <col min="10758" max="10758" width="11.375" style="16" bestFit="1" customWidth="1"/>
    <col min="10759" max="11008" width="8.625" style="16"/>
    <col min="11009" max="11009" width="9" style="16" customWidth="1"/>
    <col min="11010" max="11010" width="8.25" style="16" bestFit="1" customWidth="1"/>
    <col min="11011" max="11012" width="11.625" style="16" bestFit="1" customWidth="1"/>
    <col min="11013" max="11013" width="15.375" style="16" bestFit="1" customWidth="1"/>
    <col min="11014" max="11014" width="11.375" style="16" bestFit="1" customWidth="1"/>
    <col min="11015" max="11264" width="8.625" style="16"/>
    <col min="11265" max="11265" width="9" style="16" customWidth="1"/>
    <col min="11266" max="11266" width="8.25" style="16" bestFit="1" customWidth="1"/>
    <col min="11267" max="11268" width="11.625" style="16" bestFit="1" customWidth="1"/>
    <col min="11269" max="11269" width="15.375" style="16" bestFit="1" customWidth="1"/>
    <col min="11270" max="11270" width="11.375" style="16" bestFit="1" customWidth="1"/>
    <col min="11271" max="11520" width="8.625" style="16"/>
    <col min="11521" max="11521" width="9" style="16" customWidth="1"/>
    <col min="11522" max="11522" width="8.25" style="16" bestFit="1" customWidth="1"/>
    <col min="11523" max="11524" width="11.625" style="16" bestFit="1" customWidth="1"/>
    <col min="11525" max="11525" width="15.375" style="16" bestFit="1" customWidth="1"/>
    <col min="11526" max="11526" width="11.375" style="16" bestFit="1" customWidth="1"/>
    <col min="11527" max="11776" width="8.625" style="16"/>
    <col min="11777" max="11777" width="9" style="16" customWidth="1"/>
    <col min="11778" max="11778" width="8.25" style="16" bestFit="1" customWidth="1"/>
    <col min="11779" max="11780" width="11.625" style="16" bestFit="1" customWidth="1"/>
    <col min="11781" max="11781" width="15.375" style="16" bestFit="1" customWidth="1"/>
    <col min="11782" max="11782" width="11.375" style="16" bestFit="1" customWidth="1"/>
    <col min="11783" max="12032" width="8.625" style="16"/>
    <col min="12033" max="12033" width="9" style="16" customWidth="1"/>
    <col min="12034" max="12034" width="8.25" style="16" bestFit="1" customWidth="1"/>
    <col min="12035" max="12036" width="11.625" style="16" bestFit="1" customWidth="1"/>
    <col min="12037" max="12037" width="15.375" style="16" bestFit="1" customWidth="1"/>
    <col min="12038" max="12038" width="11.375" style="16" bestFit="1" customWidth="1"/>
    <col min="12039" max="12288" width="8.625" style="16"/>
    <col min="12289" max="12289" width="9" style="16" customWidth="1"/>
    <col min="12290" max="12290" width="8.25" style="16" bestFit="1" customWidth="1"/>
    <col min="12291" max="12292" width="11.625" style="16" bestFit="1" customWidth="1"/>
    <col min="12293" max="12293" width="15.375" style="16" bestFit="1" customWidth="1"/>
    <col min="12294" max="12294" width="11.375" style="16" bestFit="1" customWidth="1"/>
    <col min="12295" max="12544" width="8.625" style="16"/>
    <col min="12545" max="12545" width="9" style="16" customWidth="1"/>
    <col min="12546" max="12546" width="8.25" style="16" bestFit="1" customWidth="1"/>
    <col min="12547" max="12548" width="11.625" style="16" bestFit="1" customWidth="1"/>
    <col min="12549" max="12549" width="15.375" style="16" bestFit="1" customWidth="1"/>
    <col min="12550" max="12550" width="11.375" style="16" bestFit="1" customWidth="1"/>
    <col min="12551" max="12800" width="8.625" style="16"/>
    <col min="12801" max="12801" width="9" style="16" customWidth="1"/>
    <col min="12802" max="12802" width="8.25" style="16" bestFit="1" customWidth="1"/>
    <col min="12803" max="12804" width="11.625" style="16" bestFit="1" customWidth="1"/>
    <col min="12805" max="12805" width="15.375" style="16" bestFit="1" customWidth="1"/>
    <col min="12806" max="12806" width="11.375" style="16" bestFit="1" customWidth="1"/>
    <col min="12807" max="13056" width="8.625" style="16"/>
    <col min="13057" max="13057" width="9" style="16" customWidth="1"/>
    <col min="13058" max="13058" width="8.25" style="16" bestFit="1" customWidth="1"/>
    <col min="13059" max="13060" width="11.625" style="16" bestFit="1" customWidth="1"/>
    <col min="13061" max="13061" width="15.375" style="16" bestFit="1" customWidth="1"/>
    <col min="13062" max="13062" width="11.375" style="16" bestFit="1" customWidth="1"/>
    <col min="13063" max="13312" width="8.625" style="16"/>
    <col min="13313" max="13313" width="9" style="16" customWidth="1"/>
    <col min="13314" max="13314" width="8.25" style="16" bestFit="1" customWidth="1"/>
    <col min="13315" max="13316" width="11.625" style="16" bestFit="1" customWidth="1"/>
    <col min="13317" max="13317" width="15.375" style="16" bestFit="1" customWidth="1"/>
    <col min="13318" max="13318" width="11.375" style="16" bestFit="1" customWidth="1"/>
    <col min="13319" max="13568" width="8.625" style="16"/>
    <col min="13569" max="13569" width="9" style="16" customWidth="1"/>
    <col min="13570" max="13570" width="8.25" style="16" bestFit="1" customWidth="1"/>
    <col min="13571" max="13572" width="11.625" style="16" bestFit="1" customWidth="1"/>
    <col min="13573" max="13573" width="15.375" style="16" bestFit="1" customWidth="1"/>
    <col min="13574" max="13574" width="11.375" style="16" bestFit="1" customWidth="1"/>
    <col min="13575" max="13824" width="8.625" style="16"/>
    <col min="13825" max="13825" width="9" style="16" customWidth="1"/>
    <col min="13826" max="13826" width="8.25" style="16" bestFit="1" customWidth="1"/>
    <col min="13827" max="13828" width="11.625" style="16" bestFit="1" customWidth="1"/>
    <col min="13829" max="13829" width="15.375" style="16" bestFit="1" customWidth="1"/>
    <col min="13830" max="13830" width="11.375" style="16" bestFit="1" customWidth="1"/>
    <col min="13831" max="14080" width="8.625" style="16"/>
    <col min="14081" max="14081" width="9" style="16" customWidth="1"/>
    <col min="14082" max="14082" width="8.25" style="16" bestFit="1" customWidth="1"/>
    <col min="14083" max="14084" width="11.625" style="16" bestFit="1" customWidth="1"/>
    <col min="14085" max="14085" width="15.375" style="16" bestFit="1" customWidth="1"/>
    <col min="14086" max="14086" width="11.375" style="16" bestFit="1" customWidth="1"/>
    <col min="14087" max="14336" width="8.625" style="16"/>
    <col min="14337" max="14337" width="9" style="16" customWidth="1"/>
    <col min="14338" max="14338" width="8.25" style="16" bestFit="1" customWidth="1"/>
    <col min="14339" max="14340" width="11.625" style="16" bestFit="1" customWidth="1"/>
    <col min="14341" max="14341" width="15.375" style="16" bestFit="1" customWidth="1"/>
    <col min="14342" max="14342" width="11.375" style="16" bestFit="1" customWidth="1"/>
    <col min="14343" max="14592" width="8.625" style="16"/>
    <col min="14593" max="14593" width="9" style="16" customWidth="1"/>
    <col min="14594" max="14594" width="8.25" style="16" bestFit="1" customWidth="1"/>
    <col min="14595" max="14596" width="11.625" style="16" bestFit="1" customWidth="1"/>
    <col min="14597" max="14597" width="15.375" style="16" bestFit="1" customWidth="1"/>
    <col min="14598" max="14598" width="11.375" style="16" bestFit="1" customWidth="1"/>
    <col min="14599" max="14848" width="8.625" style="16"/>
    <col min="14849" max="14849" width="9" style="16" customWidth="1"/>
    <col min="14850" max="14850" width="8.25" style="16" bestFit="1" customWidth="1"/>
    <col min="14851" max="14852" width="11.625" style="16" bestFit="1" customWidth="1"/>
    <col min="14853" max="14853" width="15.375" style="16" bestFit="1" customWidth="1"/>
    <col min="14854" max="14854" width="11.375" style="16" bestFit="1" customWidth="1"/>
    <col min="14855" max="15104" width="8.625" style="16"/>
    <col min="15105" max="15105" width="9" style="16" customWidth="1"/>
    <col min="15106" max="15106" width="8.25" style="16" bestFit="1" customWidth="1"/>
    <col min="15107" max="15108" width="11.625" style="16" bestFit="1" customWidth="1"/>
    <col min="15109" max="15109" width="15.375" style="16" bestFit="1" customWidth="1"/>
    <col min="15110" max="15110" width="11.375" style="16" bestFit="1" customWidth="1"/>
    <col min="15111" max="15360" width="8.625" style="16"/>
    <col min="15361" max="15361" width="9" style="16" customWidth="1"/>
    <col min="15362" max="15362" width="8.25" style="16" bestFit="1" customWidth="1"/>
    <col min="15363" max="15364" width="11.625" style="16" bestFit="1" customWidth="1"/>
    <col min="15365" max="15365" width="15.375" style="16" bestFit="1" customWidth="1"/>
    <col min="15366" max="15366" width="11.375" style="16" bestFit="1" customWidth="1"/>
    <col min="15367" max="15616" width="8.625" style="16"/>
    <col min="15617" max="15617" width="9" style="16" customWidth="1"/>
    <col min="15618" max="15618" width="8.25" style="16" bestFit="1" customWidth="1"/>
    <col min="15619" max="15620" width="11.625" style="16" bestFit="1" customWidth="1"/>
    <col min="15621" max="15621" width="15.375" style="16" bestFit="1" customWidth="1"/>
    <col min="15622" max="15622" width="11.375" style="16" bestFit="1" customWidth="1"/>
    <col min="15623" max="15872" width="8.625" style="16"/>
    <col min="15873" max="15873" width="9" style="16" customWidth="1"/>
    <col min="15874" max="15874" width="8.25" style="16" bestFit="1" customWidth="1"/>
    <col min="15875" max="15876" width="11.625" style="16" bestFit="1" customWidth="1"/>
    <col min="15877" max="15877" width="15.375" style="16" bestFit="1" customWidth="1"/>
    <col min="15878" max="15878" width="11.375" style="16" bestFit="1" customWidth="1"/>
    <col min="15879" max="16128" width="8.625" style="16"/>
    <col min="16129" max="16129" width="9" style="16" customWidth="1"/>
    <col min="16130" max="16130" width="8.25" style="16" bestFit="1" customWidth="1"/>
    <col min="16131" max="16132" width="11.625" style="16" bestFit="1" customWidth="1"/>
    <col min="16133" max="16133" width="15.375" style="16" bestFit="1" customWidth="1"/>
    <col min="16134" max="16134" width="11.375" style="16" bestFit="1" customWidth="1"/>
    <col min="16135" max="16384" width="8.625" style="16"/>
  </cols>
  <sheetData>
    <row r="1" spans="2:6">
      <c r="B1" s="19" t="s">
        <v>20</v>
      </c>
    </row>
    <row r="3" spans="2:6">
      <c r="B3" s="17" t="s">
        <v>21</v>
      </c>
      <c r="C3" s="17" t="s">
        <v>22</v>
      </c>
      <c r="D3" s="17" t="s">
        <v>23</v>
      </c>
      <c r="E3" s="17" t="s">
        <v>24</v>
      </c>
      <c r="F3" s="17" t="s">
        <v>25</v>
      </c>
    </row>
    <row r="4" spans="2:6">
      <c r="B4" s="17" t="s">
        <v>28</v>
      </c>
      <c r="C4" s="18">
        <v>199</v>
      </c>
      <c r="D4" s="18">
        <v>6500</v>
      </c>
      <c r="E4" s="18">
        <f t="shared" ref="E4:E10" si="0">C4*D4</f>
        <v>1293500</v>
      </c>
      <c r="F4" s="18">
        <f>E4*0.15</f>
        <v>194025</v>
      </c>
    </row>
    <row r="5" spans="2:6">
      <c r="B5" s="17" t="s">
        <v>29</v>
      </c>
      <c r="C5" s="18">
        <v>132</v>
      </c>
      <c r="D5" s="18">
        <v>3800</v>
      </c>
      <c r="E5" s="18">
        <f t="shared" si="0"/>
        <v>501600</v>
      </c>
      <c r="F5" s="18">
        <f>E5*0.21</f>
        <v>105336</v>
      </c>
    </row>
    <row r="6" spans="2:6">
      <c r="B6" s="17" t="s">
        <v>30</v>
      </c>
      <c r="C6" s="18">
        <v>160</v>
      </c>
      <c r="D6" s="18">
        <v>20000</v>
      </c>
      <c r="E6" s="18">
        <f t="shared" si="0"/>
        <v>3200000</v>
      </c>
      <c r="F6" s="18">
        <f>E6*0.24</f>
        <v>768000</v>
      </c>
    </row>
    <row r="7" spans="2:6">
      <c r="B7" s="17" t="s">
        <v>31</v>
      </c>
      <c r="C7" s="18">
        <v>239</v>
      </c>
      <c r="D7" s="18">
        <v>15000</v>
      </c>
      <c r="E7" s="18">
        <f t="shared" si="0"/>
        <v>3585000</v>
      </c>
      <c r="F7" s="18">
        <f>E7*0.27</f>
        <v>967950.00000000012</v>
      </c>
    </row>
    <row r="8" spans="2:6">
      <c r="B8" s="17" t="s">
        <v>32</v>
      </c>
      <c r="C8" s="18">
        <v>144</v>
      </c>
      <c r="D8" s="18">
        <v>17500</v>
      </c>
      <c r="E8" s="18">
        <f t="shared" si="0"/>
        <v>2520000</v>
      </c>
      <c r="F8" s="18">
        <f>E8*0.27</f>
        <v>680400</v>
      </c>
    </row>
    <row r="9" spans="2:6">
      <c r="B9" s="17" t="s">
        <v>33</v>
      </c>
      <c r="C9" s="18">
        <v>122</v>
      </c>
      <c r="D9" s="18">
        <v>5600</v>
      </c>
      <c r="E9" s="18">
        <f t="shared" si="0"/>
        <v>683200</v>
      </c>
      <c r="F9" s="18">
        <f>E9*0.14</f>
        <v>95648.000000000015</v>
      </c>
    </row>
    <row r="10" spans="2:6">
      <c r="B10" s="17" t="s">
        <v>34</v>
      </c>
      <c r="C10" s="18">
        <v>162</v>
      </c>
      <c r="D10" s="18">
        <v>35000</v>
      </c>
      <c r="E10" s="18">
        <f t="shared" si="0"/>
        <v>5670000</v>
      </c>
      <c r="F10" s="18">
        <f>E10*0.23</f>
        <v>1304100</v>
      </c>
    </row>
  </sheetData>
  <phoneticPr fontId="3" type="noConversion"/>
  <printOptions headings="1" gridLines="1"/>
  <pageMargins left="0.75" right="0.75" top="1" bottom="1" header="0.5" footer="0.5"/>
  <pageSetup paperSize="9" orientation="landscape" horizontalDpi="300" verticalDpi="300" r:id="rId1"/>
  <headerFooter alignWithMargins="0">
    <oddFooter>&amp;C&amp;F&amp;A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>
                <anchor moveWithCells="1" sizeWithCells="1">
                  <from>
                    <xdr:col>6</xdr:col>
                    <xdr:colOff>0</xdr:colOff>
                    <xdr:row>0</xdr:row>
                    <xdr:rowOff>0</xdr:rowOff>
                  </from>
                  <to>
                    <xdr:col>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Pict="0">
                <anchor moveWithCells="1" sizeWithCells="1">
                  <from>
                    <xdr:col>6</xdr:col>
                    <xdr:colOff>0</xdr:colOff>
                    <xdr:row>0</xdr:row>
                    <xdr:rowOff>0</xdr:rowOff>
                  </from>
                  <to>
                    <xdr:col>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08"/>
  <sheetViews>
    <sheetView tabSelected="1" topLeftCell="A100" workbookViewId="0">
      <selection activeCell="R108" sqref="R108"/>
    </sheetView>
  </sheetViews>
  <sheetFormatPr defaultRowHeight="16.5"/>
  <cols>
    <col min="1" max="1" width="2.625" style="16" customWidth="1"/>
    <col min="2" max="6" width="10.625" style="16" customWidth="1"/>
    <col min="7" max="256" width="8.75" style="16"/>
    <col min="257" max="257" width="9" style="16" customWidth="1"/>
    <col min="258" max="258" width="8.25" style="16" bestFit="1" customWidth="1"/>
    <col min="259" max="260" width="11.625" style="16" bestFit="1" customWidth="1"/>
    <col min="261" max="261" width="15.375" style="16" bestFit="1" customWidth="1"/>
    <col min="262" max="262" width="11.375" style="16" bestFit="1" customWidth="1"/>
    <col min="263" max="512" width="8.75" style="16"/>
    <col min="513" max="513" width="9" style="16" customWidth="1"/>
    <col min="514" max="514" width="8.25" style="16" bestFit="1" customWidth="1"/>
    <col min="515" max="516" width="11.625" style="16" bestFit="1" customWidth="1"/>
    <col min="517" max="517" width="15.375" style="16" bestFit="1" customWidth="1"/>
    <col min="518" max="518" width="11.375" style="16" bestFit="1" customWidth="1"/>
    <col min="519" max="768" width="8.75" style="16"/>
    <col min="769" max="769" width="9" style="16" customWidth="1"/>
    <col min="770" max="770" width="8.25" style="16" bestFit="1" customWidth="1"/>
    <col min="771" max="772" width="11.625" style="16" bestFit="1" customWidth="1"/>
    <col min="773" max="773" width="15.375" style="16" bestFit="1" customWidth="1"/>
    <col min="774" max="774" width="11.375" style="16" bestFit="1" customWidth="1"/>
    <col min="775" max="1024" width="8.75" style="16"/>
    <col min="1025" max="1025" width="9" style="16" customWidth="1"/>
    <col min="1026" max="1026" width="8.25" style="16" bestFit="1" customWidth="1"/>
    <col min="1027" max="1028" width="11.625" style="16" bestFit="1" customWidth="1"/>
    <col min="1029" max="1029" width="15.375" style="16" bestFit="1" customWidth="1"/>
    <col min="1030" max="1030" width="11.375" style="16" bestFit="1" customWidth="1"/>
    <col min="1031" max="1280" width="8.75" style="16"/>
    <col min="1281" max="1281" width="9" style="16" customWidth="1"/>
    <col min="1282" max="1282" width="8.25" style="16" bestFit="1" customWidth="1"/>
    <col min="1283" max="1284" width="11.625" style="16" bestFit="1" customWidth="1"/>
    <col min="1285" max="1285" width="15.375" style="16" bestFit="1" customWidth="1"/>
    <col min="1286" max="1286" width="11.375" style="16" bestFit="1" customWidth="1"/>
    <col min="1287" max="1536" width="8.75" style="16"/>
    <col min="1537" max="1537" width="9" style="16" customWidth="1"/>
    <col min="1538" max="1538" width="8.25" style="16" bestFit="1" customWidth="1"/>
    <col min="1539" max="1540" width="11.625" style="16" bestFit="1" customWidth="1"/>
    <col min="1541" max="1541" width="15.375" style="16" bestFit="1" customWidth="1"/>
    <col min="1542" max="1542" width="11.375" style="16" bestFit="1" customWidth="1"/>
    <col min="1543" max="1792" width="8.75" style="16"/>
    <col min="1793" max="1793" width="9" style="16" customWidth="1"/>
    <col min="1794" max="1794" width="8.25" style="16" bestFit="1" customWidth="1"/>
    <col min="1795" max="1796" width="11.625" style="16" bestFit="1" customWidth="1"/>
    <col min="1797" max="1797" width="15.375" style="16" bestFit="1" customWidth="1"/>
    <col min="1798" max="1798" width="11.375" style="16" bestFit="1" customWidth="1"/>
    <col min="1799" max="2048" width="8.75" style="16"/>
    <col min="2049" max="2049" width="9" style="16" customWidth="1"/>
    <col min="2050" max="2050" width="8.25" style="16" bestFit="1" customWidth="1"/>
    <col min="2051" max="2052" width="11.625" style="16" bestFit="1" customWidth="1"/>
    <col min="2053" max="2053" width="15.375" style="16" bestFit="1" customWidth="1"/>
    <col min="2054" max="2054" width="11.375" style="16" bestFit="1" customWidth="1"/>
    <col min="2055" max="2304" width="8.75" style="16"/>
    <col min="2305" max="2305" width="9" style="16" customWidth="1"/>
    <col min="2306" max="2306" width="8.25" style="16" bestFit="1" customWidth="1"/>
    <col min="2307" max="2308" width="11.625" style="16" bestFit="1" customWidth="1"/>
    <col min="2309" max="2309" width="15.375" style="16" bestFit="1" customWidth="1"/>
    <col min="2310" max="2310" width="11.375" style="16" bestFit="1" customWidth="1"/>
    <col min="2311" max="2560" width="8.75" style="16"/>
    <col min="2561" max="2561" width="9" style="16" customWidth="1"/>
    <col min="2562" max="2562" width="8.25" style="16" bestFit="1" customWidth="1"/>
    <col min="2563" max="2564" width="11.625" style="16" bestFit="1" customWidth="1"/>
    <col min="2565" max="2565" width="15.375" style="16" bestFit="1" customWidth="1"/>
    <col min="2566" max="2566" width="11.375" style="16" bestFit="1" customWidth="1"/>
    <col min="2567" max="2816" width="8.75" style="16"/>
    <col min="2817" max="2817" width="9" style="16" customWidth="1"/>
    <col min="2818" max="2818" width="8.25" style="16" bestFit="1" customWidth="1"/>
    <col min="2819" max="2820" width="11.625" style="16" bestFit="1" customWidth="1"/>
    <col min="2821" max="2821" width="15.375" style="16" bestFit="1" customWidth="1"/>
    <col min="2822" max="2822" width="11.375" style="16" bestFit="1" customWidth="1"/>
    <col min="2823" max="3072" width="8.75" style="16"/>
    <col min="3073" max="3073" width="9" style="16" customWidth="1"/>
    <col min="3074" max="3074" width="8.25" style="16" bestFit="1" customWidth="1"/>
    <col min="3075" max="3076" width="11.625" style="16" bestFit="1" customWidth="1"/>
    <col min="3077" max="3077" width="15.375" style="16" bestFit="1" customWidth="1"/>
    <col min="3078" max="3078" width="11.375" style="16" bestFit="1" customWidth="1"/>
    <col min="3079" max="3328" width="8.75" style="16"/>
    <col min="3329" max="3329" width="9" style="16" customWidth="1"/>
    <col min="3330" max="3330" width="8.25" style="16" bestFit="1" customWidth="1"/>
    <col min="3331" max="3332" width="11.625" style="16" bestFit="1" customWidth="1"/>
    <col min="3333" max="3333" width="15.375" style="16" bestFit="1" customWidth="1"/>
    <col min="3334" max="3334" width="11.375" style="16" bestFit="1" customWidth="1"/>
    <col min="3335" max="3584" width="8.75" style="16"/>
    <col min="3585" max="3585" width="9" style="16" customWidth="1"/>
    <col min="3586" max="3586" width="8.25" style="16" bestFit="1" customWidth="1"/>
    <col min="3587" max="3588" width="11.625" style="16" bestFit="1" customWidth="1"/>
    <col min="3589" max="3589" width="15.375" style="16" bestFit="1" customWidth="1"/>
    <col min="3590" max="3590" width="11.375" style="16" bestFit="1" customWidth="1"/>
    <col min="3591" max="3840" width="8.75" style="16"/>
    <col min="3841" max="3841" width="9" style="16" customWidth="1"/>
    <col min="3842" max="3842" width="8.25" style="16" bestFit="1" customWidth="1"/>
    <col min="3843" max="3844" width="11.625" style="16" bestFit="1" customWidth="1"/>
    <col min="3845" max="3845" width="15.375" style="16" bestFit="1" customWidth="1"/>
    <col min="3846" max="3846" width="11.375" style="16" bestFit="1" customWidth="1"/>
    <col min="3847" max="4096" width="8.75" style="16"/>
    <col min="4097" max="4097" width="9" style="16" customWidth="1"/>
    <col min="4098" max="4098" width="8.25" style="16" bestFit="1" customWidth="1"/>
    <col min="4099" max="4100" width="11.625" style="16" bestFit="1" customWidth="1"/>
    <col min="4101" max="4101" width="15.375" style="16" bestFit="1" customWidth="1"/>
    <col min="4102" max="4102" width="11.375" style="16" bestFit="1" customWidth="1"/>
    <col min="4103" max="4352" width="8.75" style="16"/>
    <col min="4353" max="4353" width="9" style="16" customWidth="1"/>
    <col min="4354" max="4354" width="8.25" style="16" bestFit="1" customWidth="1"/>
    <col min="4355" max="4356" width="11.625" style="16" bestFit="1" customWidth="1"/>
    <col min="4357" max="4357" width="15.375" style="16" bestFit="1" customWidth="1"/>
    <col min="4358" max="4358" width="11.375" style="16" bestFit="1" customWidth="1"/>
    <col min="4359" max="4608" width="8.75" style="16"/>
    <col min="4609" max="4609" width="9" style="16" customWidth="1"/>
    <col min="4610" max="4610" width="8.25" style="16" bestFit="1" customWidth="1"/>
    <col min="4611" max="4612" width="11.625" style="16" bestFit="1" customWidth="1"/>
    <col min="4613" max="4613" width="15.375" style="16" bestFit="1" customWidth="1"/>
    <col min="4614" max="4614" width="11.375" style="16" bestFit="1" customWidth="1"/>
    <col min="4615" max="4864" width="8.75" style="16"/>
    <col min="4865" max="4865" width="9" style="16" customWidth="1"/>
    <col min="4866" max="4866" width="8.25" style="16" bestFit="1" customWidth="1"/>
    <col min="4867" max="4868" width="11.625" style="16" bestFit="1" customWidth="1"/>
    <col min="4869" max="4869" width="15.375" style="16" bestFit="1" customWidth="1"/>
    <col min="4870" max="4870" width="11.375" style="16" bestFit="1" customWidth="1"/>
    <col min="4871" max="5120" width="8.75" style="16"/>
    <col min="5121" max="5121" width="9" style="16" customWidth="1"/>
    <col min="5122" max="5122" width="8.25" style="16" bestFit="1" customWidth="1"/>
    <col min="5123" max="5124" width="11.625" style="16" bestFit="1" customWidth="1"/>
    <col min="5125" max="5125" width="15.375" style="16" bestFit="1" customWidth="1"/>
    <col min="5126" max="5126" width="11.375" style="16" bestFit="1" customWidth="1"/>
    <col min="5127" max="5376" width="8.75" style="16"/>
    <col min="5377" max="5377" width="9" style="16" customWidth="1"/>
    <col min="5378" max="5378" width="8.25" style="16" bestFit="1" customWidth="1"/>
    <col min="5379" max="5380" width="11.625" style="16" bestFit="1" customWidth="1"/>
    <col min="5381" max="5381" width="15.375" style="16" bestFit="1" customWidth="1"/>
    <col min="5382" max="5382" width="11.375" style="16" bestFit="1" customWidth="1"/>
    <col min="5383" max="5632" width="8.75" style="16"/>
    <col min="5633" max="5633" width="9" style="16" customWidth="1"/>
    <col min="5634" max="5634" width="8.25" style="16" bestFit="1" customWidth="1"/>
    <col min="5635" max="5636" width="11.625" style="16" bestFit="1" customWidth="1"/>
    <col min="5637" max="5637" width="15.375" style="16" bestFit="1" customWidth="1"/>
    <col min="5638" max="5638" width="11.375" style="16" bestFit="1" customWidth="1"/>
    <col min="5639" max="5888" width="8.75" style="16"/>
    <col min="5889" max="5889" width="9" style="16" customWidth="1"/>
    <col min="5890" max="5890" width="8.25" style="16" bestFit="1" customWidth="1"/>
    <col min="5891" max="5892" width="11.625" style="16" bestFit="1" customWidth="1"/>
    <col min="5893" max="5893" width="15.375" style="16" bestFit="1" customWidth="1"/>
    <col min="5894" max="5894" width="11.375" style="16" bestFit="1" customWidth="1"/>
    <col min="5895" max="6144" width="8.75" style="16"/>
    <col min="6145" max="6145" width="9" style="16" customWidth="1"/>
    <col min="6146" max="6146" width="8.25" style="16" bestFit="1" customWidth="1"/>
    <col min="6147" max="6148" width="11.625" style="16" bestFit="1" customWidth="1"/>
    <col min="6149" max="6149" width="15.375" style="16" bestFit="1" customWidth="1"/>
    <col min="6150" max="6150" width="11.375" style="16" bestFit="1" customWidth="1"/>
    <col min="6151" max="6400" width="8.75" style="16"/>
    <col min="6401" max="6401" width="9" style="16" customWidth="1"/>
    <col min="6402" max="6402" width="8.25" style="16" bestFit="1" customWidth="1"/>
    <col min="6403" max="6404" width="11.625" style="16" bestFit="1" customWidth="1"/>
    <col min="6405" max="6405" width="15.375" style="16" bestFit="1" customWidth="1"/>
    <col min="6406" max="6406" width="11.375" style="16" bestFit="1" customWidth="1"/>
    <col min="6407" max="6656" width="8.75" style="16"/>
    <col min="6657" max="6657" width="9" style="16" customWidth="1"/>
    <col min="6658" max="6658" width="8.25" style="16" bestFit="1" customWidth="1"/>
    <col min="6659" max="6660" width="11.625" style="16" bestFit="1" customWidth="1"/>
    <col min="6661" max="6661" width="15.375" style="16" bestFit="1" customWidth="1"/>
    <col min="6662" max="6662" width="11.375" style="16" bestFit="1" customWidth="1"/>
    <col min="6663" max="6912" width="8.75" style="16"/>
    <col min="6913" max="6913" width="9" style="16" customWidth="1"/>
    <col min="6914" max="6914" width="8.25" style="16" bestFit="1" customWidth="1"/>
    <col min="6915" max="6916" width="11.625" style="16" bestFit="1" customWidth="1"/>
    <col min="6917" max="6917" width="15.375" style="16" bestFit="1" customWidth="1"/>
    <col min="6918" max="6918" width="11.375" style="16" bestFit="1" customWidth="1"/>
    <col min="6919" max="7168" width="8.75" style="16"/>
    <col min="7169" max="7169" width="9" style="16" customWidth="1"/>
    <col min="7170" max="7170" width="8.25" style="16" bestFit="1" customWidth="1"/>
    <col min="7171" max="7172" width="11.625" style="16" bestFit="1" customWidth="1"/>
    <col min="7173" max="7173" width="15.375" style="16" bestFit="1" customWidth="1"/>
    <col min="7174" max="7174" width="11.375" style="16" bestFit="1" customWidth="1"/>
    <col min="7175" max="7424" width="8.75" style="16"/>
    <col min="7425" max="7425" width="9" style="16" customWidth="1"/>
    <col min="7426" max="7426" width="8.25" style="16" bestFit="1" customWidth="1"/>
    <col min="7427" max="7428" width="11.625" style="16" bestFit="1" customWidth="1"/>
    <col min="7429" max="7429" width="15.375" style="16" bestFit="1" customWidth="1"/>
    <col min="7430" max="7430" width="11.375" style="16" bestFit="1" customWidth="1"/>
    <col min="7431" max="7680" width="8.75" style="16"/>
    <col min="7681" max="7681" width="9" style="16" customWidth="1"/>
    <col min="7682" max="7682" width="8.25" style="16" bestFit="1" customWidth="1"/>
    <col min="7683" max="7684" width="11.625" style="16" bestFit="1" customWidth="1"/>
    <col min="7685" max="7685" width="15.375" style="16" bestFit="1" customWidth="1"/>
    <col min="7686" max="7686" width="11.375" style="16" bestFit="1" customWidth="1"/>
    <col min="7687" max="7936" width="8.75" style="16"/>
    <col min="7937" max="7937" width="9" style="16" customWidth="1"/>
    <col min="7938" max="7938" width="8.25" style="16" bestFit="1" customWidth="1"/>
    <col min="7939" max="7940" width="11.625" style="16" bestFit="1" customWidth="1"/>
    <col min="7941" max="7941" width="15.375" style="16" bestFit="1" customWidth="1"/>
    <col min="7942" max="7942" width="11.375" style="16" bestFit="1" customWidth="1"/>
    <col min="7943" max="8192" width="8.75" style="16"/>
    <col min="8193" max="8193" width="9" style="16" customWidth="1"/>
    <col min="8194" max="8194" width="8.25" style="16" bestFit="1" customWidth="1"/>
    <col min="8195" max="8196" width="11.625" style="16" bestFit="1" customWidth="1"/>
    <col min="8197" max="8197" width="15.375" style="16" bestFit="1" customWidth="1"/>
    <col min="8198" max="8198" width="11.375" style="16" bestFit="1" customWidth="1"/>
    <col min="8199" max="8448" width="8.75" style="16"/>
    <col min="8449" max="8449" width="9" style="16" customWidth="1"/>
    <col min="8450" max="8450" width="8.25" style="16" bestFit="1" customWidth="1"/>
    <col min="8451" max="8452" width="11.625" style="16" bestFit="1" customWidth="1"/>
    <col min="8453" max="8453" width="15.375" style="16" bestFit="1" customWidth="1"/>
    <col min="8454" max="8454" width="11.375" style="16" bestFit="1" customWidth="1"/>
    <col min="8455" max="8704" width="8.75" style="16"/>
    <col min="8705" max="8705" width="9" style="16" customWidth="1"/>
    <col min="8706" max="8706" width="8.25" style="16" bestFit="1" customWidth="1"/>
    <col min="8707" max="8708" width="11.625" style="16" bestFit="1" customWidth="1"/>
    <col min="8709" max="8709" width="15.375" style="16" bestFit="1" customWidth="1"/>
    <col min="8710" max="8710" width="11.375" style="16" bestFit="1" customWidth="1"/>
    <col min="8711" max="8960" width="8.75" style="16"/>
    <col min="8961" max="8961" width="9" style="16" customWidth="1"/>
    <col min="8962" max="8962" width="8.25" style="16" bestFit="1" customWidth="1"/>
    <col min="8963" max="8964" width="11.625" style="16" bestFit="1" customWidth="1"/>
    <col min="8965" max="8965" width="15.375" style="16" bestFit="1" customWidth="1"/>
    <col min="8966" max="8966" width="11.375" style="16" bestFit="1" customWidth="1"/>
    <col min="8967" max="9216" width="8.75" style="16"/>
    <col min="9217" max="9217" width="9" style="16" customWidth="1"/>
    <col min="9218" max="9218" width="8.25" style="16" bestFit="1" customWidth="1"/>
    <col min="9219" max="9220" width="11.625" style="16" bestFit="1" customWidth="1"/>
    <col min="9221" max="9221" width="15.375" style="16" bestFit="1" customWidth="1"/>
    <col min="9222" max="9222" width="11.375" style="16" bestFit="1" customWidth="1"/>
    <col min="9223" max="9472" width="8.75" style="16"/>
    <col min="9473" max="9473" width="9" style="16" customWidth="1"/>
    <col min="9474" max="9474" width="8.25" style="16" bestFit="1" customWidth="1"/>
    <col min="9475" max="9476" width="11.625" style="16" bestFit="1" customWidth="1"/>
    <col min="9477" max="9477" width="15.375" style="16" bestFit="1" customWidth="1"/>
    <col min="9478" max="9478" width="11.375" style="16" bestFit="1" customWidth="1"/>
    <col min="9479" max="9728" width="8.75" style="16"/>
    <col min="9729" max="9729" width="9" style="16" customWidth="1"/>
    <col min="9730" max="9730" width="8.25" style="16" bestFit="1" customWidth="1"/>
    <col min="9731" max="9732" width="11.625" style="16" bestFit="1" customWidth="1"/>
    <col min="9733" max="9733" width="15.375" style="16" bestFit="1" customWidth="1"/>
    <col min="9734" max="9734" width="11.375" style="16" bestFit="1" customWidth="1"/>
    <col min="9735" max="9984" width="8.75" style="16"/>
    <col min="9985" max="9985" width="9" style="16" customWidth="1"/>
    <col min="9986" max="9986" width="8.25" style="16" bestFit="1" customWidth="1"/>
    <col min="9987" max="9988" width="11.625" style="16" bestFit="1" customWidth="1"/>
    <col min="9989" max="9989" width="15.375" style="16" bestFit="1" customWidth="1"/>
    <col min="9990" max="9990" width="11.375" style="16" bestFit="1" customWidth="1"/>
    <col min="9991" max="10240" width="8.75" style="16"/>
    <col min="10241" max="10241" width="9" style="16" customWidth="1"/>
    <col min="10242" max="10242" width="8.25" style="16" bestFit="1" customWidth="1"/>
    <col min="10243" max="10244" width="11.625" style="16" bestFit="1" customWidth="1"/>
    <col min="10245" max="10245" width="15.375" style="16" bestFit="1" customWidth="1"/>
    <col min="10246" max="10246" width="11.375" style="16" bestFit="1" customWidth="1"/>
    <col min="10247" max="10496" width="8.75" style="16"/>
    <col min="10497" max="10497" width="9" style="16" customWidth="1"/>
    <col min="10498" max="10498" width="8.25" style="16" bestFit="1" customWidth="1"/>
    <col min="10499" max="10500" width="11.625" style="16" bestFit="1" customWidth="1"/>
    <col min="10501" max="10501" width="15.375" style="16" bestFit="1" customWidth="1"/>
    <col min="10502" max="10502" width="11.375" style="16" bestFit="1" customWidth="1"/>
    <col min="10503" max="10752" width="8.75" style="16"/>
    <col min="10753" max="10753" width="9" style="16" customWidth="1"/>
    <col min="10754" max="10754" width="8.25" style="16" bestFit="1" customWidth="1"/>
    <col min="10755" max="10756" width="11.625" style="16" bestFit="1" customWidth="1"/>
    <col min="10757" max="10757" width="15.375" style="16" bestFit="1" customWidth="1"/>
    <col min="10758" max="10758" width="11.375" style="16" bestFit="1" customWidth="1"/>
    <col min="10759" max="11008" width="8.75" style="16"/>
    <col min="11009" max="11009" width="9" style="16" customWidth="1"/>
    <col min="11010" max="11010" width="8.25" style="16" bestFit="1" customWidth="1"/>
    <col min="11011" max="11012" width="11.625" style="16" bestFit="1" customWidth="1"/>
    <col min="11013" max="11013" width="15.375" style="16" bestFit="1" customWidth="1"/>
    <col min="11014" max="11014" width="11.375" style="16" bestFit="1" customWidth="1"/>
    <col min="11015" max="11264" width="8.75" style="16"/>
    <col min="11265" max="11265" width="9" style="16" customWidth="1"/>
    <col min="11266" max="11266" width="8.25" style="16" bestFit="1" customWidth="1"/>
    <col min="11267" max="11268" width="11.625" style="16" bestFit="1" customWidth="1"/>
    <col min="11269" max="11269" width="15.375" style="16" bestFit="1" customWidth="1"/>
    <col min="11270" max="11270" width="11.375" style="16" bestFit="1" customWidth="1"/>
    <col min="11271" max="11520" width="8.75" style="16"/>
    <col min="11521" max="11521" width="9" style="16" customWidth="1"/>
    <col min="11522" max="11522" width="8.25" style="16" bestFit="1" customWidth="1"/>
    <col min="11523" max="11524" width="11.625" style="16" bestFit="1" customWidth="1"/>
    <col min="11525" max="11525" width="15.375" style="16" bestFit="1" customWidth="1"/>
    <col min="11526" max="11526" width="11.375" style="16" bestFit="1" customWidth="1"/>
    <col min="11527" max="11776" width="8.75" style="16"/>
    <col min="11777" max="11777" width="9" style="16" customWidth="1"/>
    <col min="11778" max="11778" width="8.25" style="16" bestFit="1" customWidth="1"/>
    <col min="11779" max="11780" width="11.625" style="16" bestFit="1" customWidth="1"/>
    <col min="11781" max="11781" width="15.375" style="16" bestFit="1" customWidth="1"/>
    <col min="11782" max="11782" width="11.375" style="16" bestFit="1" customWidth="1"/>
    <col min="11783" max="12032" width="8.75" style="16"/>
    <col min="12033" max="12033" width="9" style="16" customWidth="1"/>
    <col min="12034" max="12034" width="8.25" style="16" bestFit="1" customWidth="1"/>
    <col min="12035" max="12036" width="11.625" style="16" bestFit="1" customWidth="1"/>
    <col min="12037" max="12037" width="15.375" style="16" bestFit="1" customWidth="1"/>
    <col min="12038" max="12038" width="11.375" style="16" bestFit="1" customWidth="1"/>
    <col min="12039" max="12288" width="8.75" style="16"/>
    <col min="12289" max="12289" width="9" style="16" customWidth="1"/>
    <col min="12290" max="12290" width="8.25" style="16" bestFit="1" customWidth="1"/>
    <col min="12291" max="12292" width="11.625" style="16" bestFit="1" customWidth="1"/>
    <col min="12293" max="12293" width="15.375" style="16" bestFit="1" customWidth="1"/>
    <col min="12294" max="12294" width="11.375" style="16" bestFit="1" customWidth="1"/>
    <col min="12295" max="12544" width="8.75" style="16"/>
    <col min="12545" max="12545" width="9" style="16" customWidth="1"/>
    <col min="12546" max="12546" width="8.25" style="16" bestFit="1" customWidth="1"/>
    <col min="12547" max="12548" width="11.625" style="16" bestFit="1" customWidth="1"/>
    <col min="12549" max="12549" width="15.375" style="16" bestFit="1" customWidth="1"/>
    <col min="12550" max="12550" width="11.375" style="16" bestFit="1" customWidth="1"/>
    <col min="12551" max="12800" width="8.75" style="16"/>
    <col min="12801" max="12801" width="9" style="16" customWidth="1"/>
    <col min="12802" max="12802" width="8.25" style="16" bestFit="1" customWidth="1"/>
    <col min="12803" max="12804" width="11.625" style="16" bestFit="1" customWidth="1"/>
    <col min="12805" max="12805" width="15.375" style="16" bestFit="1" customWidth="1"/>
    <col min="12806" max="12806" width="11.375" style="16" bestFit="1" customWidth="1"/>
    <col min="12807" max="13056" width="8.75" style="16"/>
    <col min="13057" max="13057" width="9" style="16" customWidth="1"/>
    <col min="13058" max="13058" width="8.25" style="16" bestFit="1" customWidth="1"/>
    <col min="13059" max="13060" width="11.625" style="16" bestFit="1" customWidth="1"/>
    <col min="13061" max="13061" width="15.375" style="16" bestFit="1" customWidth="1"/>
    <col min="13062" max="13062" width="11.375" style="16" bestFit="1" customWidth="1"/>
    <col min="13063" max="13312" width="8.75" style="16"/>
    <col min="13313" max="13313" width="9" style="16" customWidth="1"/>
    <col min="13314" max="13314" width="8.25" style="16" bestFit="1" customWidth="1"/>
    <col min="13315" max="13316" width="11.625" style="16" bestFit="1" customWidth="1"/>
    <col min="13317" max="13317" width="15.375" style="16" bestFit="1" customWidth="1"/>
    <col min="13318" max="13318" width="11.375" style="16" bestFit="1" customWidth="1"/>
    <col min="13319" max="13568" width="8.75" style="16"/>
    <col min="13569" max="13569" width="9" style="16" customWidth="1"/>
    <col min="13570" max="13570" width="8.25" style="16" bestFit="1" customWidth="1"/>
    <col min="13571" max="13572" width="11.625" style="16" bestFit="1" customWidth="1"/>
    <col min="13573" max="13573" width="15.375" style="16" bestFit="1" customWidth="1"/>
    <col min="13574" max="13574" width="11.375" style="16" bestFit="1" customWidth="1"/>
    <col min="13575" max="13824" width="8.75" style="16"/>
    <col min="13825" max="13825" width="9" style="16" customWidth="1"/>
    <col min="13826" max="13826" width="8.25" style="16" bestFit="1" customWidth="1"/>
    <col min="13827" max="13828" width="11.625" style="16" bestFit="1" customWidth="1"/>
    <col min="13829" max="13829" width="15.375" style="16" bestFit="1" customWidth="1"/>
    <col min="13830" max="13830" width="11.375" style="16" bestFit="1" customWidth="1"/>
    <col min="13831" max="14080" width="8.75" style="16"/>
    <col min="14081" max="14081" width="9" style="16" customWidth="1"/>
    <col min="14082" max="14082" width="8.25" style="16" bestFit="1" customWidth="1"/>
    <col min="14083" max="14084" width="11.625" style="16" bestFit="1" customWidth="1"/>
    <col min="14085" max="14085" width="15.375" style="16" bestFit="1" customWidth="1"/>
    <col min="14086" max="14086" width="11.375" style="16" bestFit="1" customWidth="1"/>
    <col min="14087" max="14336" width="8.75" style="16"/>
    <col min="14337" max="14337" width="9" style="16" customWidth="1"/>
    <col min="14338" max="14338" width="8.25" style="16" bestFit="1" customWidth="1"/>
    <col min="14339" max="14340" width="11.625" style="16" bestFit="1" customWidth="1"/>
    <col min="14341" max="14341" width="15.375" style="16" bestFit="1" customWidth="1"/>
    <col min="14342" max="14342" width="11.375" style="16" bestFit="1" customWidth="1"/>
    <col min="14343" max="14592" width="8.75" style="16"/>
    <col min="14593" max="14593" width="9" style="16" customWidth="1"/>
    <col min="14594" max="14594" width="8.25" style="16" bestFit="1" customWidth="1"/>
    <col min="14595" max="14596" width="11.625" style="16" bestFit="1" customWidth="1"/>
    <col min="14597" max="14597" width="15.375" style="16" bestFit="1" customWidth="1"/>
    <col min="14598" max="14598" width="11.375" style="16" bestFit="1" customWidth="1"/>
    <col min="14599" max="14848" width="8.75" style="16"/>
    <col min="14849" max="14849" width="9" style="16" customWidth="1"/>
    <col min="14850" max="14850" width="8.25" style="16" bestFit="1" customWidth="1"/>
    <col min="14851" max="14852" width="11.625" style="16" bestFit="1" customWidth="1"/>
    <col min="14853" max="14853" width="15.375" style="16" bestFit="1" customWidth="1"/>
    <col min="14854" max="14854" width="11.375" style="16" bestFit="1" customWidth="1"/>
    <col min="14855" max="15104" width="8.75" style="16"/>
    <col min="15105" max="15105" width="9" style="16" customWidth="1"/>
    <col min="15106" max="15106" width="8.25" style="16" bestFit="1" customWidth="1"/>
    <col min="15107" max="15108" width="11.625" style="16" bestFit="1" customWidth="1"/>
    <col min="15109" max="15109" width="15.375" style="16" bestFit="1" customWidth="1"/>
    <col min="15110" max="15110" width="11.375" style="16" bestFit="1" customWidth="1"/>
    <col min="15111" max="15360" width="8.75" style="16"/>
    <col min="15361" max="15361" width="9" style="16" customWidth="1"/>
    <col min="15362" max="15362" width="8.25" style="16" bestFit="1" customWidth="1"/>
    <col min="15363" max="15364" width="11.625" style="16" bestFit="1" customWidth="1"/>
    <col min="15365" max="15365" width="15.375" style="16" bestFit="1" customWidth="1"/>
    <col min="15366" max="15366" width="11.375" style="16" bestFit="1" customWidth="1"/>
    <col min="15367" max="15616" width="8.75" style="16"/>
    <col min="15617" max="15617" width="9" style="16" customWidth="1"/>
    <col min="15618" max="15618" width="8.25" style="16" bestFit="1" customWidth="1"/>
    <col min="15619" max="15620" width="11.625" style="16" bestFit="1" customWidth="1"/>
    <col min="15621" max="15621" width="15.375" style="16" bestFit="1" customWidth="1"/>
    <col min="15622" max="15622" width="11.375" style="16" bestFit="1" customWidth="1"/>
    <col min="15623" max="15872" width="8.75" style="16"/>
    <col min="15873" max="15873" width="9" style="16" customWidth="1"/>
    <col min="15874" max="15874" width="8.25" style="16" bestFit="1" customWidth="1"/>
    <col min="15875" max="15876" width="11.625" style="16" bestFit="1" customWidth="1"/>
    <col min="15877" max="15877" width="15.375" style="16" bestFit="1" customWidth="1"/>
    <col min="15878" max="15878" width="11.375" style="16" bestFit="1" customWidth="1"/>
    <col min="15879" max="16128" width="8.75" style="16"/>
    <col min="16129" max="16129" width="9" style="16" customWidth="1"/>
    <col min="16130" max="16130" width="8.25" style="16" bestFit="1" customWidth="1"/>
    <col min="16131" max="16132" width="11.625" style="16" bestFit="1" customWidth="1"/>
    <col min="16133" max="16133" width="15.375" style="16" bestFit="1" customWidth="1"/>
    <col min="16134" max="16134" width="11.375" style="16" bestFit="1" customWidth="1"/>
    <col min="16135" max="16384" width="8.75" style="16"/>
  </cols>
  <sheetData>
    <row r="1" spans="2:6">
      <c r="B1" s="19" t="s">
        <v>20</v>
      </c>
    </row>
    <row r="3" spans="2:6">
      <c r="B3" s="17" t="s">
        <v>21</v>
      </c>
      <c r="C3" s="17" t="s">
        <v>22</v>
      </c>
      <c r="D3" s="17" t="s">
        <v>23</v>
      </c>
      <c r="E3" s="17" t="s">
        <v>24</v>
      </c>
      <c r="F3" s="17" t="s">
        <v>25</v>
      </c>
    </row>
    <row r="4" spans="2:6">
      <c r="B4" s="17" t="s">
        <v>28</v>
      </c>
      <c r="C4" s="18">
        <v>199</v>
      </c>
      <c r="D4" s="18">
        <v>6500</v>
      </c>
      <c r="E4" s="18">
        <f t="shared" ref="E4:E10" si="0">C4*D4</f>
        <v>1293500</v>
      </c>
      <c r="F4" s="18">
        <f>E4*0.15</f>
        <v>194025</v>
      </c>
    </row>
    <row r="5" spans="2:6">
      <c r="B5" s="17" t="s">
        <v>29</v>
      </c>
      <c r="C5" s="18">
        <v>132</v>
      </c>
      <c r="D5" s="18">
        <v>3800</v>
      </c>
      <c r="E5" s="18">
        <f t="shared" si="0"/>
        <v>501600</v>
      </c>
      <c r="F5" s="18">
        <f>E5*0.21</f>
        <v>105336</v>
      </c>
    </row>
    <row r="6" spans="2:6">
      <c r="B6" s="17" t="s">
        <v>30</v>
      </c>
      <c r="C6" s="18">
        <v>160</v>
      </c>
      <c r="D6" s="18">
        <v>20000</v>
      </c>
      <c r="E6" s="18">
        <f t="shared" si="0"/>
        <v>3200000</v>
      </c>
      <c r="F6" s="18">
        <f>E6*0.24</f>
        <v>768000</v>
      </c>
    </row>
    <row r="7" spans="2:6">
      <c r="B7" s="17" t="s">
        <v>31</v>
      </c>
      <c r="C7" s="18">
        <v>239</v>
      </c>
      <c r="D7" s="18">
        <v>15000</v>
      </c>
      <c r="E7" s="18">
        <f t="shared" si="0"/>
        <v>3585000</v>
      </c>
      <c r="F7" s="18">
        <f>E7*0.27</f>
        <v>967950.00000000012</v>
      </c>
    </row>
    <row r="8" spans="2:6">
      <c r="B8" s="17" t="s">
        <v>32</v>
      </c>
      <c r="C8" s="18">
        <v>144</v>
      </c>
      <c r="D8" s="18">
        <v>17500</v>
      </c>
      <c r="E8" s="18">
        <f t="shared" si="0"/>
        <v>2520000</v>
      </c>
      <c r="F8" s="18">
        <f>E8*0.27</f>
        <v>680400</v>
      </c>
    </row>
    <row r="9" spans="2:6">
      <c r="B9" s="17" t="s">
        <v>33</v>
      </c>
      <c r="C9" s="18">
        <v>122</v>
      </c>
      <c r="D9" s="18">
        <v>5600</v>
      </c>
      <c r="E9" s="18">
        <f t="shared" si="0"/>
        <v>683200</v>
      </c>
      <c r="F9" s="18">
        <f>E9*0.14</f>
        <v>95648.000000000015</v>
      </c>
    </row>
    <row r="10" spans="2:6">
      <c r="B10" s="17" t="s">
        <v>34</v>
      </c>
      <c r="C10" s="18">
        <v>162</v>
      </c>
      <c r="D10" s="18">
        <v>35000</v>
      </c>
      <c r="E10" s="18">
        <f t="shared" si="0"/>
        <v>5670000</v>
      </c>
      <c r="F10" s="18">
        <f>E10*0.23</f>
        <v>1304100</v>
      </c>
    </row>
    <row r="17" spans="11:11">
      <c r="K17" s="16">
        <v>1</v>
      </c>
    </row>
    <row r="28" spans="11:11">
      <c r="K28" s="16">
        <v>2</v>
      </c>
    </row>
    <row r="49" spans="11:11">
      <c r="K49" s="16">
        <v>3</v>
      </c>
    </row>
    <row r="58" spans="11:11">
      <c r="K58" s="16">
        <v>4</v>
      </c>
    </row>
    <row r="90" spans="12:12">
      <c r="L90" s="16" t="s">
        <v>93</v>
      </c>
    </row>
    <row r="108" spans="11:11">
      <c r="K108" s="16">
        <v>5</v>
      </c>
    </row>
  </sheetData>
  <phoneticPr fontId="3" type="noConversion"/>
  <printOptions headings="1" gridLines="1"/>
  <pageMargins left="0.75" right="0.75" top="1" bottom="1" header="0.5" footer="0.5"/>
  <pageSetup paperSize="9" orientation="landscape" horizontalDpi="300" verticalDpi="300" r:id="rId1"/>
  <headerFooter alignWithMargins="0">
    <oddFooter>&amp;C&amp;F&amp;A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>
                <anchor moveWithCells="1" sizeWithCells="1">
                  <from>
                    <xdr:col>6</xdr:col>
                    <xdr:colOff>0</xdr:colOff>
                    <xdr:row>0</xdr:row>
                    <xdr:rowOff>0</xdr:rowOff>
                  </from>
                  <to>
                    <xdr:col>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Button 2">
              <controlPr defaultSize="0" print="0" autoFill="0" autoPict="0">
                <anchor moveWithCells="1" sizeWithCells="1">
                  <from>
                    <xdr:col>6</xdr:col>
                    <xdr:colOff>0</xdr:colOff>
                    <xdr:row>0</xdr:row>
                    <xdr:rowOff>0</xdr:rowOff>
                  </from>
                  <to>
                    <xdr:col>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차트-1</vt:lpstr>
      <vt:lpstr>정답</vt:lpstr>
      <vt:lpstr>차트-2</vt:lpstr>
      <vt:lpstr>정답2</vt:lpstr>
      <vt:lpstr>차트-3</vt:lpstr>
      <vt:lpstr>정답3</vt:lpstr>
      <vt:lpstr>차트-4</vt:lpstr>
      <vt:lpstr>정답4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이상엽_IT출판팀</dc:creator>
  <cp:lastModifiedBy>jong park</cp:lastModifiedBy>
  <dcterms:created xsi:type="dcterms:W3CDTF">2021-07-24T02:45:06Z</dcterms:created>
  <dcterms:modified xsi:type="dcterms:W3CDTF">2026-08-07T04:51:45Z</dcterms:modified>
</cp:coreProperties>
</file>