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9C54E245-8369-4CC9-878E-99D229EEB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실습" sheetId="1" r:id="rId1"/>
    <sheet name="정답" sheetId="2" r:id="rId2"/>
    <sheet name="추가실습" sheetId="3" r:id="rId3"/>
    <sheet name="추가정답" sheetId="4" r:id="rId4"/>
  </sheets>
  <definedNames>
    <definedName name="_xlnm.Print_Area" localSheetId="1">정답!$H$2:$J$7</definedName>
    <definedName name="_xlnm.Print_Area" localSheetId="3">추가정답!$B$17:$F$21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  <c r="F20" i="4"/>
  <c r="F19" i="4"/>
  <c r="F18" i="4"/>
  <c r="F17" i="4"/>
  <c r="F23" i="2"/>
  <c r="F22" i="2"/>
  <c r="F21" i="2"/>
  <c r="F20" i="2"/>
  <c r="F19" i="2"/>
  <c r="F18" i="2"/>
</calcChain>
</file>

<file path=xl/sharedStrings.xml><?xml version="1.0" encoding="utf-8"?>
<sst xmlns="http://schemas.openxmlformats.org/spreadsheetml/2006/main" count="192" uniqueCount="57">
  <si>
    <t>데이터베이스 함수 실습</t>
  </si>
  <si>
    <t>대리점</t>
  </si>
  <si>
    <t>제품명</t>
  </si>
  <si>
    <t>판매사원</t>
  </si>
  <si>
    <t>판매금액</t>
  </si>
  <si>
    <t>판매수량</t>
  </si>
  <si>
    <t>서초점</t>
  </si>
  <si>
    <t>TV</t>
  </si>
  <si>
    <t>백예린</t>
  </si>
  <si>
    <t>에어컨</t>
  </si>
  <si>
    <t>강남점</t>
  </si>
  <si>
    <t>세탁기</t>
  </si>
  <si>
    <t>이정인</t>
  </si>
  <si>
    <t>대림점</t>
  </si>
  <si>
    <t>김동수</t>
  </si>
  <si>
    <t>김석훈</t>
  </si>
  <si>
    <t>양재점</t>
  </si>
  <si>
    <t>이명윤</t>
  </si>
  <si>
    <t>박동수</t>
  </si>
  <si>
    <t>구로점</t>
  </si>
  <si>
    <t>이범수</t>
  </si>
  <si>
    <t>위의 H6:H7과 J6:J7은 원본과 분리한 조건표입니다. 사진 수식은 C2:C3과 B2:B3을 조건표로 재사용합니다. 같은 조건을 외부에 만들어도 결과는 같습니다.</t>
  </si>
  <si>
    <t>김치냉장고</t>
  </si>
  <si>
    <t>지영수</t>
  </si>
  <si>
    <t>배태지</t>
  </si>
  <si>
    <t>이용석</t>
  </si>
  <si>
    <t>이승원</t>
  </si>
  <si>
    <t>이승민</t>
  </si>
  <si>
    <t>마포점</t>
  </si>
  <si>
    <t>한수진</t>
  </si>
  <si>
    <t>노란 결과 칸 F18:F23에 수식을 입력하세요.
전체 범위는 제목을 포함한 B2:F17입니다. 5번 열은 워크시트 E열이 아니라 이 범위의 다섯 번째인 판매수량 F열입니다.</t>
  </si>
  <si>
    <t>이대점</t>
  </si>
  <si>
    <t>이영미</t>
  </si>
  <si>
    <t>TV 판매금액 합계</t>
  </si>
  <si>
    <t>서초점 판매수량 최대값</t>
  </si>
  <si>
    <t>에어컨 판매금액 최소값</t>
  </si>
  <si>
    <t>강남점 판매수량 평균</t>
  </si>
  <si>
    <t>TV 데이터 개수 숫자 기준</t>
  </si>
  <si>
    <t>서초점 데이터 개수 대리점 기준</t>
  </si>
  <si>
    <t>019페이지 실습. 실습 시트의 노란 칸에 수식을 입력하고 정답 시트와 비교하세요. 제목을 포함한 전체 범위와 제목을 포함한 조건표를 정확히 선택합니다. 추가실습 데이터는 개수와 조건의 차이를 연습하기 위한 별도 예제입니다.</t>
  </si>
  <si>
    <t>데이터베이스 함수 정답</t>
  </si>
  <si>
    <t>조건표와 개수 세기 추가실습</t>
  </si>
  <si>
    <t>번호</t>
  </si>
  <si>
    <t>메모</t>
  </si>
  <si>
    <t>설치</t>
  </si>
  <si>
    <t>보류</t>
  </si>
  <si>
    <t>미정</t>
  </si>
  <si>
    <t>&gt;=100</t>
  </si>
  <si>
    <t>TV는 3건입니다. 판매금액에는 숫자 100, 빈 셀, 문자 미정이 있습니다. DCOUNT와 DCOUNTA의 결과가 다른 이유를 확인하세요. G7:H8은 AND 조건, G11:G13은 OR 조건입니다.</t>
  </si>
  <si>
    <t>TV 판매금액에서 숫자 개수</t>
  </si>
  <si>
    <t>TV 판매금액에서 비어 있지 않은 개수</t>
  </si>
  <si>
    <t>TV 번호에서 비어 있지 않은 개수</t>
  </si>
  <si>
    <t>TV이면서 판매금액 100 이상 합계</t>
  </si>
  <si>
    <t>TV 또는 에어컨 판매금액 합계</t>
  </si>
  <si>
    <t>조건표와 개수 세기 추가정답</t>
  </si>
  <si>
    <t>암사점</t>
    <phoneticPr fontId="5" type="noConversion"/>
  </si>
  <si>
    <t>홍입분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</si>
</sst>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Malgun Gothic"/>
      <family val="3"/>
      <charset val="129"/>
    </font>
    <font>
      <b/>
      <sz val="16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Carlito"/>
    </font>
    <font>
      <sz val="8"/>
      <name val="돋움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1F5F9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3" fontId="1" fillId="0" borderId="0" xfId="1" applyNumberFormat="1" applyFont="1" applyAlignment="1">
      <alignment vertical="center"/>
    </xf>
    <xf numFmtId="3" fontId="1" fillId="4" borderId="0" xfId="1" applyNumberFormat="1" applyFont="1" applyFill="1" applyAlignment="1">
      <alignment vertical="center"/>
    </xf>
    <xf numFmtId="3" fontId="1" fillId="5" borderId="0" xfId="1" applyNumberFormat="1" applyFont="1" applyFill="1" applyAlignment="1">
      <alignment vertical="center"/>
    </xf>
    <xf numFmtId="1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1" fillId="3" borderId="0" xfId="1" applyFont="1" applyFill="1" applyAlignment="1">
      <alignment vertical="center"/>
    </xf>
    <xf numFmtId="0" fontId="1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L9" sqref="L9"/>
    </sheetView>
  </sheetViews>
  <sheetFormatPr defaultRowHeight="14.25"/>
  <cols>
    <col min="1" max="1" width="3" customWidth="1"/>
    <col min="2" max="2" width="16" customWidth="1"/>
    <col min="3" max="3" width="18" customWidth="1"/>
    <col min="4" max="4" width="16" customWidth="1"/>
    <col min="5" max="6" width="18" customWidth="1"/>
    <col min="7" max="7" width="3" customWidth="1"/>
    <col min="8" max="10" width="16" customWidth="1"/>
  </cols>
  <sheetData>
    <row r="1" spans="1:10" ht="27.95" customHeight="1">
      <c r="A1" s="1"/>
      <c r="B1" s="9" t="s">
        <v>0</v>
      </c>
      <c r="C1" s="10"/>
      <c r="D1" s="10"/>
      <c r="E1" s="10"/>
      <c r="F1" s="10"/>
      <c r="G1" s="1"/>
      <c r="H1" s="1"/>
      <c r="I1" s="1"/>
      <c r="J1" s="1"/>
    </row>
    <row r="2" spans="1:10" ht="27.9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  <c r="H2" s="2" t="s">
        <v>2</v>
      </c>
      <c r="I2" s="1"/>
      <c r="J2" s="2" t="s">
        <v>1</v>
      </c>
    </row>
    <row r="3" spans="1:10" ht="27.95" customHeight="1">
      <c r="A3" s="1"/>
      <c r="B3" s="1" t="s">
        <v>6</v>
      </c>
      <c r="C3" s="1" t="s">
        <v>7</v>
      </c>
      <c r="D3" s="1" t="s">
        <v>8</v>
      </c>
      <c r="E3" s="4">
        <v>1110000</v>
      </c>
      <c r="F3" s="4">
        <v>20</v>
      </c>
      <c r="G3" s="1"/>
      <c r="H3" s="1" t="s">
        <v>9</v>
      </c>
      <c r="I3" s="1"/>
      <c r="J3" s="1" t="s">
        <v>10</v>
      </c>
    </row>
    <row r="4" spans="1:10" ht="27.95" customHeight="1">
      <c r="A4" s="1"/>
      <c r="B4" s="1" t="s">
        <v>10</v>
      </c>
      <c r="C4" s="1" t="s">
        <v>11</v>
      </c>
      <c r="D4" s="1" t="s">
        <v>12</v>
      </c>
      <c r="E4" s="4">
        <v>2215200</v>
      </c>
      <c r="F4" s="4">
        <v>60</v>
      </c>
      <c r="G4" s="1"/>
      <c r="H4" s="1"/>
      <c r="I4" s="1"/>
      <c r="J4" s="1"/>
    </row>
    <row r="5" spans="1:10" ht="27.95" customHeight="1">
      <c r="A5" s="1"/>
      <c r="B5" s="1" t="s">
        <v>13</v>
      </c>
      <c r="C5" s="1" t="s">
        <v>9</v>
      </c>
      <c r="D5" s="1" t="s">
        <v>14</v>
      </c>
      <c r="E5" s="4">
        <v>4440000</v>
      </c>
      <c r="F5" s="4">
        <v>30</v>
      </c>
      <c r="G5" s="1"/>
      <c r="H5" s="1"/>
      <c r="I5" s="1"/>
      <c r="J5" s="1"/>
    </row>
    <row r="6" spans="1:10" ht="27.95" customHeight="1">
      <c r="A6" s="1"/>
      <c r="B6" s="1" t="s">
        <v>6</v>
      </c>
      <c r="C6" s="1" t="s">
        <v>7</v>
      </c>
      <c r="D6" s="1" t="s">
        <v>15</v>
      </c>
      <c r="E6" s="4">
        <v>3332500</v>
      </c>
      <c r="F6" s="4">
        <v>50</v>
      </c>
      <c r="G6" s="1"/>
      <c r="H6" s="2" t="s">
        <v>2</v>
      </c>
      <c r="I6" s="1"/>
      <c r="J6" s="2" t="s">
        <v>1</v>
      </c>
    </row>
    <row r="7" spans="1:10" ht="27.95" customHeight="1">
      <c r="A7" s="1"/>
      <c r="B7" s="1" t="s">
        <v>55</v>
      </c>
      <c r="C7" s="1" t="s">
        <v>9</v>
      </c>
      <c r="D7" s="1" t="s">
        <v>17</v>
      </c>
      <c r="E7" s="4">
        <v>6845200</v>
      </c>
      <c r="F7" s="4">
        <v>40</v>
      </c>
      <c r="G7" s="1"/>
      <c r="H7" s="1" t="s">
        <v>7</v>
      </c>
      <c r="I7" s="1"/>
      <c r="J7" s="1" t="s">
        <v>6</v>
      </c>
    </row>
    <row r="8" spans="1:10" ht="27.95" customHeight="1">
      <c r="A8" s="1"/>
      <c r="B8" s="1" t="s">
        <v>10</v>
      </c>
      <c r="C8" s="1" t="s">
        <v>11</v>
      </c>
      <c r="D8" s="1" t="s">
        <v>18</v>
      </c>
      <c r="E8" s="4">
        <v>3330000</v>
      </c>
      <c r="F8" s="4">
        <v>33</v>
      </c>
      <c r="G8" s="1"/>
      <c r="H8" s="1"/>
      <c r="I8" s="1"/>
      <c r="J8" s="1"/>
    </row>
    <row r="9" spans="1:10" ht="27.95" customHeight="1">
      <c r="A9" s="1"/>
      <c r="B9" s="1" t="s">
        <v>19</v>
      </c>
      <c r="C9" s="1" t="s">
        <v>7</v>
      </c>
      <c r="D9" s="1" t="s">
        <v>20</v>
      </c>
      <c r="E9" s="4">
        <v>5123000</v>
      </c>
      <c r="F9" s="4">
        <v>50</v>
      </c>
      <c r="G9" s="1"/>
      <c r="H9" s="8"/>
      <c r="I9" s="8"/>
      <c r="J9" s="8"/>
    </row>
    <row r="10" spans="1:10" ht="27.95" customHeight="1">
      <c r="A10" s="1"/>
      <c r="B10" s="1" t="s">
        <v>19</v>
      </c>
      <c r="C10" s="1" t="s">
        <v>22</v>
      </c>
      <c r="D10" s="1" t="s">
        <v>23</v>
      </c>
      <c r="E10" s="4">
        <v>3384500</v>
      </c>
      <c r="F10" s="4">
        <v>55</v>
      </c>
      <c r="G10" s="1"/>
      <c r="H10" s="8"/>
      <c r="I10" s="8"/>
      <c r="J10" s="8"/>
    </row>
    <row r="11" spans="1:10" ht="27.95" customHeight="1">
      <c r="A11" s="1"/>
      <c r="B11" s="1" t="s">
        <v>10</v>
      </c>
      <c r="C11" s="1" t="s">
        <v>22</v>
      </c>
      <c r="D11" s="1" t="s">
        <v>24</v>
      </c>
      <c r="E11" s="4">
        <v>7451200</v>
      </c>
      <c r="F11" s="4">
        <v>30</v>
      </c>
      <c r="G11" s="1"/>
      <c r="H11" s="8"/>
      <c r="I11" s="8"/>
      <c r="J11" s="8"/>
    </row>
    <row r="12" spans="1:10" ht="27.95" customHeight="1">
      <c r="A12" s="1"/>
      <c r="B12" s="1" t="s">
        <v>16</v>
      </c>
      <c r="C12" s="1" t="s">
        <v>11</v>
      </c>
      <c r="D12" s="1" t="s">
        <v>25</v>
      </c>
      <c r="E12" s="4">
        <v>9542100</v>
      </c>
      <c r="F12" s="4">
        <v>60</v>
      </c>
      <c r="G12" s="1"/>
      <c r="H12" s="8"/>
      <c r="I12" s="8"/>
      <c r="J12" s="8"/>
    </row>
    <row r="13" spans="1:10" ht="27.95" customHeight="1">
      <c r="A13" s="1"/>
      <c r="B13" s="1" t="s">
        <v>19</v>
      </c>
      <c r="C13" s="1" t="s">
        <v>9</v>
      </c>
      <c r="D13" s="1" t="s">
        <v>26</v>
      </c>
      <c r="E13" s="4">
        <v>6345000</v>
      </c>
      <c r="F13" s="4">
        <v>15</v>
      </c>
      <c r="G13" s="1"/>
      <c r="H13" s="8"/>
      <c r="I13" s="8"/>
      <c r="J13" s="8"/>
    </row>
    <row r="14" spans="1:10" ht="27.95" customHeight="1">
      <c r="A14" s="1"/>
      <c r="B14" s="1" t="s">
        <v>10</v>
      </c>
      <c r="C14" s="1" t="s">
        <v>7</v>
      </c>
      <c r="D14" s="1" t="s">
        <v>27</v>
      </c>
      <c r="E14" s="4">
        <v>6521420</v>
      </c>
      <c r="F14" s="4">
        <v>33</v>
      </c>
      <c r="G14" s="1"/>
      <c r="H14" s="8"/>
      <c r="I14" s="8"/>
      <c r="J14" s="8"/>
    </row>
    <row r="15" spans="1:10" ht="27.95" customHeight="1">
      <c r="A15" s="1"/>
      <c r="B15" s="1" t="s">
        <v>28</v>
      </c>
      <c r="C15" s="1" t="s">
        <v>22</v>
      </c>
      <c r="D15" s="1" t="s">
        <v>56</v>
      </c>
      <c r="E15" s="4">
        <v>2456000</v>
      </c>
      <c r="F15" s="4">
        <v>25</v>
      </c>
      <c r="G15" s="1"/>
      <c r="H15" s="1"/>
      <c r="I15" s="1"/>
      <c r="J15" s="1"/>
    </row>
    <row r="16" spans="1:10" ht="27.95" customHeight="1">
      <c r="A16" s="1"/>
      <c r="B16" s="1" t="s">
        <v>19</v>
      </c>
      <c r="C16" s="1" t="s">
        <v>9</v>
      </c>
      <c r="D16" s="1" t="s">
        <v>29</v>
      </c>
      <c r="E16" s="4">
        <v>8754200</v>
      </c>
      <c r="F16" s="4">
        <v>20</v>
      </c>
      <c r="G16" s="1"/>
      <c r="H16" s="8" t="s">
        <v>30</v>
      </c>
      <c r="I16" s="8"/>
      <c r="J16" s="8"/>
    </row>
    <row r="17" spans="1:10" ht="27.95" customHeight="1">
      <c r="A17" s="1"/>
      <c r="B17" s="1" t="s">
        <v>31</v>
      </c>
      <c r="C17" s="1" t="s">
        <v>11</v>
      </c>
      <c r="D17" s="1" t="s">
        <v>32</v>
      </c>
      <c r="E17" s="4">
        <v>6453000</v>
      </c>
      <c r="F17" s="4">
        <v>50</v>
      </c>
      <c r="G17" s="1"/>
      <c r="H17" s="8"/>
      <c r="I17" s="8"/>
      <c r="J17" s="8"/>
    </row>
    <row r="18" spans="1:10" ht="44" customHeight="1">
      <c r="A18" s="1"/>
      <c r="B18" s="12" t="inlineStr">
        <is>
          <t xml:space="preserve">TV 판매금액 합계 (DSUM 함수 사용)</t>
        </is>
      </c>
      <c r="C18" s="11"/>
      <c r="D18" s="11"/>
      <c r="E18" s="11"/>
      <c r="F18" s="5"/>
      <c r="G18" s="1"/>
      <c r="H18" s="8"/>
      <c r="I18" s="8"/>
      <c r="J18" s="8"/>
    </row>
    <row r="19" spans="1:10" ht="44" customHeight="1">
      <c r="A19" s="1"/>
      <c r="B19" s="12" t="inlineStr">
        <is>
          <t xml:space="preserve">서초점 판매수량 최대값 (DMAX 함수 사용)</t>
        </is>
      </c>
      <c r="C19" s="11"/>
      <c r="D19" s="11"/>
      <c r="E19" s="11"/>
      <c r="F19" s="5"/>
      <c r="G19" s="1"/>
      <c r="H19" s="8"/>
      <c r="I19" s="8"/>
      <c r="J19" s="8"/>
    </row>
    <row r="20" spans="1:10" ht="44" customHeight="1">
      <c r="A20" s="1"/>
      <c r="B20" s="12" t="inlineStr">
        <is>
          <t xml:space="preserve">에어컨 판매금액 최소값 (DMIN 함수 사용)</t>
        </is>
      </c>
      <c r="C20" s="11"/>
      <c r="D20" s="11"/>
      <c r="E20" s="11"/>
      <c r="F20" s="5"/>
      <c r="G20" s="1"/>
      <c r="H20" s="8"/>
      <c r="I20" s="8"/>
      <c r="J20" s="8"/>
    </row>
    <row r="21" spans="1:10" ht="44" customHeight="1">
      <c r="A21" s="1"/>
      <c r="B21" s="12" t="inlineStr">
        <is>
          <t xml:space="preserve">강남점 판매수량 평균 (DAVERAGE 함수 사용)</t>
        </is>
      </c>
      <c r="C21" s="11"/>
      <c r="D21" s="11"/>
      <c r="E21" s="11"/>
      <c r="F21" s="5"/>
      <c r="G21" s="1"/>
      <c r="H21" s="8"/>
      <c r="I21" s="8"/>
      <c r="J21" s="8"/>
    </row>
    <row r="22" spans="1:10" ht="44" customHeight="1">
      <c r="A22" s="1"/>
      <c r="B22" s="12" t="inlineStr">
        <is>
          <t xml:space="preserve">TV 판매금액의 숫자 개수 (DCOUNT 함수 사용)</t>
        </is>
      </c>
      <c r="C22" s="11"/>
      <c r="D22" s="11"/>
      <c r="E22" s="11"/>
      <c r="F22" s="5"/>
      <c r="G22" s="1"/>
      <c r="H22" s="8"/>
      <c r="I22" s="8"/>
      <c r="J22" s="8"/>
    </row>
    <row r="23" spans="1:10" ht="44" customHeight="1">
      <c r="A23" s="1"/>
      <c r="B23" s="12" t="inlineStr">
        <is>
          <t xml:space="preserve">서초점 대리점의 비어 있지 않은 개수 (DCOUNTA 함수 사용)</t>
        </is>
      </c>
      <c r="C23" s="11"/>
      <c r="D23" s="11"/>
      <c r="E23" s="11"/>
      <c r="F23" s="5"/>
      <c r="G23" s="1"/>
      <c r="H23" s="8"/>
      <c r="I23" s="8"/>
      <c r="J23" s="8"/>
    </row>
    <row r="24" spans="1:10" ht="27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8"/>
      <c r="C26" s="8"/>
      <c r="D26" s="8"/>
      <c r="E26" s="8"/>
      <c r="F26" s="8"/>
      <c r="G26" s="8"/>
      <c r="H26" s="8"/>
      <c r="I26" s="8"/>
      <c r="J26" s="8"/>
    </row>
    <row r="27" spans="1:10" ht="27.95" customHeight="1">
      <c r="A27" s="1"/>
      <c r="B27" s="8"/>
      <c r="C27" s="8"/>
      <c r="D27" s="8"/>
      <c r="E27" s="8"/>
      <c r="F27" s="8"/>
      <c r="G27" s="8"/>
      <c r="H27" s="8"/>
      <c r="I27" s="8"/>
      <c r="J27" s="8"/>
    </row>
    <row r="28" spans="1:10" ht="27.95" customHeight="1">
      <c r="A28" s="1"/>
      <c r="B28" s="8"/>
      <c r="C28" s="8"/>
      <c r="D28" s="8"/>
      <c r="E28" s="8"/>
      <c r="F28" s="8"/>
      <c r="G28" s="8"/>
      <c r="H28" s="8"/>
      <c r="I28" s="8"/>
      <c r="J28" s="8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0">
    <mergeCell ref="B26:J28"/>
    <mergeCell ref="B1:F1"/>
    <mergeCell ref="H9:J14"/>
    <mergeCell ref="H16:J23"/>
    <mergeCell ref="B18:E18"/>
    <mergeCell ref="B19:E19"/>
    <mergeCell ref="B20:E20"/>
    <mergeCell ref="B21:E21"/>
    <mergeCell ref="B22:E22"/>
    <mergeCell ref="B23:E2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workbookViewId="0"/>
  </sheetViews>
  <sheetFormatPr defaultRowHeight="14.25"/>
  <cols>
    <col min="1" max="1" width="3" customWidth="1"/>
    <col min="2" max="2" width="16" customWidth="1"/>
    <col min="3" max="3" width="18" customWidth="1"/>
    <col min="4" max="4" width="16" customWidth="1"/>
    <col min="5" max="6" width="18" customWidth="1"/>
    <col min="7" max="7" width="3" customWidth="1"/>
    <col min="8" max="10" width="16" customWidth="1"/>
  </cols>
  <sheetData>
    <row r="1" spans="1:10" ht="27.95" customHeight="1">
      <c r="A1" s="1"/>
      <c r="B1" s="9" t="s">
        <v>40</v>
      </c>
      <c r="C1" s="10"/>
      <c r="D1" s="10"/>
      <c r="E1" s="10"/>
      <c r="F1" s="10"/>
      <c r="G1" s="1"/>
      <c r="H1" s="1"/>
      <c r="I1" s="1"/>
      <c r="J1" s="1"/>
    </row>
    <row r="2" spans="1:10" ht="27.95" customHeight="1">
      <c r="A2" s="1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  <c r="H2" s="2" t="s">
        <v>2</v>
      </c>
      <c r="I2" s="1"/>
      <c r="J2" s="2" t="s">
        <v>1</v>
      </c>
    </row>
    <row r="3" spans="1:10" ht="27.95" customHeight="1">
      <c r="A3" s="1"/>
      <c r="B3" s="1" t="s">
        <v>6</v>
      </c>
      <c r="C3" s="1" t="s">
        <v>7</v>
      </c>
      <c r="D3" s="1" t="s">
        <v>8</v>
      </c>
      <c r="E3" s="4">
        <v>1110000</v>
      </c>
      <c r="F3" s="4">
        <v>20</v>
      </c>
      <c r="G3" s="1"/>
      <c r="H3" s="1" t="s">
        <v>9</v>
      </c>
      <c r="I3" s="1"/>
      <c r="J3" s="1" t="s">
        <v>10</v>
      </c>
    </row>
    <row r="4" spans="1:10" ht="27.95" customHeight="1">
      <c r="A4" s="1"/>
      <c r="B4" s="1" t="s">
        <v>10</v>
      </c>
      <c r="C4" s="1" t="s">
        <v>11</v>
      </c>
      <c r="D4" s="1" t="s">
        <v>12</v>
      </c>
      <c r="E4" s="4">
        <v>2215200</v>
      </c>
      <c r="F4" s="4">
        <v>60</v>
      </c>
      <c r="G4" s="1"/>
      <c r="H4" s="1"/>
      <c r="I4" s="1"/>
      <c r="J4" s="1"/>
    </row>
    <row r="5" spans="1:10" ht="27.95" customHeight="1">
      <c r="A5" s="1"/>
      <c r="B5" s="1" t="s">
        <v>13</v>
      </c>
      <c r="C5" s="1" t="s">
        <v>9</v>
      </c>
      <c r="D5" s="1" t="s">
        <v>14</v>
      </c>
      <c r="E5" s="4">
        <v>4440000</v>
      </c>
      <c r="F5" s="4">
        <v>30</v>
      </c>
      <c r="G5" s="1"/>
      <c r="H5" s="1"/>
      <c r="I5" s="1"/>
      <c r="J5" s="1"/>
    </row>
    <row r="6" spans="1:10" ht="27.95" customHeight="1">
      <c r="A6" s="1"/>
      <c r="B6" s="1" t="s">
        <v>6</v>
      </c>
      <c r="C6" s="1" t="s">
        <v>7</v>
      </c>
      <c r="D6" s="1" t="s">
        <v>15</v>
      </c>
      <c r="E6" s="4">
        <v>3332500</v>
      </c>
      <c r="F6" s="4">
        <v>50</v>
      </c>
      <c r="G6" s="1"/>
      <c r="H6" s="2" t="s">
        <v>2</v>
      </c>
      <c r="I6" s="1"/>
      <c r="J6" s="2" t="s">
        <v>1</v>
      </c>
    </row>
    <row r="7" spans="1:10" ht="27.95" customHeight="1">
      <c r="A7" s="1"/>
      <c r="B7" s="1" t="s">
        <v>55</v>
      </c>
      <c r="C7" s="1" t="s">
        <v>9</v>
      </c>
      <c r="D7" s="1" t="s">
        <v>17</v>
      </c>
      <c r="E7" s="4">
        <v>6845200</v>
      </c>
      <c r="F7" s="4">
        <v>40</v>
      </c>
      <c r="G7" s="1"/>
      <c r="H7" s="1" t="s">
        <v>7</v>
      </c>
      <c r="I7" s="1"/>
      <c r="J7" s="1" t="s">
        <v>6</v>
      </c>
    </row>
    <row r="8" spans="1:10" ht="27.95" customHeight="1">
      <c r="A8" s="1"/>
      <c r="B8" s="1" t="s">
        <v>10</v>
      </c>
      <c r="C8" s="1" t="s">
        <v>11</v>
      </c>
      <c r="D8" s="1" t="s">
        <v>18</v>
      </c>
      <c r="E8" s="4">
        <v>3330000</v>
      </c>
      <c r="F8" s="4">
        <v>33</v>
      </c>
      <c r="G8" s="1"/>
      <c r="H8" s="1"/>
      <c r="I8" s="1"/>
      <c r="J8" s="1"/>
    </row>
    <row r="9" spans="1:10" ht="27.95" customHeight="1">
      <c r="A9" s="1"/>
      <c r="B9" s="1" t="s">
        <v>19</v>
      </c>
      <c r="C9" s="1" t="s">
        <v>7</v>
      </c>
      <c r="D9" s="1" t="s">
        <v>20</v>
      </c>
      <c r="E9" s="4">
        <v>5123000</v>
      </c>
      <c r="F9" s="4">
        <v>50</v>
      </c>
      <c r="G9" s="1"/>
      <c r="H9" s="8" t="s">
        <v>21</v>
      </c>
      <c r="I9" s="8"/>
      <c r="J9" s="8"/>
    </row>
    <row r="10" spans="1:10" ht="27.95" customHeight="1">
      <c r="A10" s="1"/>
      <c r="B10" s="1" t="s">
        <v>19</v>
      </c>
      <c r="C10" s="1" t="s">
        <v>22</v>
      </c>
      <c r="D10" s="1" t="s">
        <v>23</v>
      </c>
      <c r="E10" s="4">
        <v>3384500</v>
      </c>
      <c r="F10" s="4">
        <v>55</v>
      </c>
      <c r="G10" s="1"/>
      <c r="H10" s="8"/>
      <c r="I10" s="8"/>
      <c r="J10" s="8"/>
    </row>
    <row r="11" spans="1:10" ht="27.95" customHeight="1">
      <c r="A11" s="1"/>
      <c r="B11" s="1" t="s">
        <v>10</v>
      </c>
      <c r="C11" s="1" t="s">
        <v>22</v>
      </c>
      <c r="D11" s="1" t="s">
        <v>24</v>
      </c>
      <c r="E11" s="4">
        <v>7451200</v>
      </c>
      <c r="F11" s="4">
        <v>30</v>
      </c>
      <c r="G11" s="1"/>
      <c r="H11" s="8"/>
      <c r="I11" s="8"/>
      <c r="J11" s="8"/>
    </row>
    <row r="12" spans="1:10" ht="27.95" customHeight="1">
      <c r="A12" s="1"/>
      <c r="B12" s="1" t="s">
        <v>16</v>
      </c>
      <c r="C12" s="1" t="s">
        <v>11</v>
      </c>
      <c r="D12" s="1" t="s">
        <v>25</v>
      </c>
      <c r="E12" s="4">
        <v>9542100</v>
      </c>
      <c r="F12" s="4">
        <v>60</v>
      </c>
      <c r="G12" s="1"/>
      <c r="H12" s="8"/>
      <c r="I12" s="8"/>
      <c r="J12" s="8"/>
    </row>
    <row r="13" spans="1:10" ht="27.95" customHeight="1">
      <c r="A13" s="1"/>
      <c r="B13" s="1" t="s">
        <v>19</v>
      </c>
      <c r="C13" s="1" t="s">
        <v>9</v>
      </c>
      <c r="D13" s="1" t="s">
        <v>26</v>
      </c>
      <c r="E13" s="4">
        <v>6345000</v>
      </c>
      <c r="F13" s="4">
        <v>15</v>
      </c>
      <c r="G13" s="1"/>
      <c r="H13" s="8"/>
      <c r="I13" s="8"/>
      <c r="J13" s="8"/>
    </row>
    <row r="14" spans="1:10" ht="27.95" customHeight="1">
      <c r="A14" s="1"/>
      <c r="B14" s="1" t="s">
        <v>10</v>
      </c>
      <c r="C14" s="1" t="s">
        <v>7</v>
      </c>
      <c r="D14" s="1" t="s">
        <v>27</v>
      </c>
      <c r="E14" s="4">
        <v>6521420</v>
      </c>
      <c r="F14" s="4">
        <v>33</v>
      </c>
      <c r="G14" s="1"/>
      <c r="H14" s="8"/>
      <c r="I14" s="8"/>
      <c r="J14" s="8"/>
    </row>
    <row r="15" spans="1:10" ht="27.95" customHeight="1">
      <c r="A15" s="1"/>
      <c r="B15" s="1" t="s">
        <v>28</v>
      </c>
      <c r="C15" s="1" t="s">
        <v>22</v>
      </c>
      <c r="D15" s="1" t="s">
        <v>56</v>
      </c>
      <c r="E15" s="4">
        <v>2456000</v>
      </c>
      <c r="F15" s="4">
        <v>25</v>
      </c>
      <c r="G15" s="1"/>
      <c r="H15" s="1"/>
      <c r="I15" s="1"/>
      <c r="J15" s="1"/>
    </row>
    <row r="16" spans="1:10" ht="27.95" customHeight="1">
      <c r="A16" s="1"/>
      <c r="B16" s="1" t="s">
        <v>19</v>
      </c>
      <c r="C16" s="1" t="s">
        <v>9</v>
      </c>
      <c r="D16" s="1" t="s">
        <v>29</v>
      </c>
      <c r="E16" s="4">
        <v>8754200</v>
      </c>
      <c r="F16" s="4">
        <v>20</v>
      </c>
      <c r="G16" s="1"/>
      <c r="H16" s="8" t="s">
        <v>30</v>
      </c>
      <c r="I16" s="8"/>
      <c r="J16" s="8"/>
    </row>
    <row r="17" spans="1:10" ht="27.95" customHeight="1">
      <c r="A17" s="1"/>
      <c r="B17" s="1" t="s">
        <v>31</v>
      </c>
      <c r="C17" s="1" t="s">
        <v>11</v>
      </c>
      <c r="D17" s="1" t="s">
        <v>32</v>
      </c>
      <c r="E17" s="4">
        <v>6453000</v>
      </c>
      <c r="F17" s="4">
        <v>50</v>
      </c>
      <c r="G17" s="1"/>
      <c r="H17" s="8"/>
      <c r="I17" s="8"/>
      <c r="J17" s="8"/>
    </row>
    <row r="18" spans="1:10" ht="44" customHeight="1">
      <c r="A18" s="1"/>
      <c r="B18" s="12" t="inlineStr">
        <is>
          <t xml:space="preserve">TV 판매금액 합계 (DSUM 함수 사용)</t>
        </is>
      </c>
      <c r="C18" s="11"/>
      <c r="D18" s="11"/>
      <c r="E18" s="11"/>
      <c r="F18" s="6">
        <f>DSUM(B2:F17,E2,C2:C3)</f>
        <v>16086920</v>
      </c>
      <c r="G18" s="1"/>
      <c r="H18" s="8"/>
      <c r="I18" s="8"/>
      <c r="J18" s="8"/>
    </row>
    <row r="19" spans="1:10" ht="44" customHeight="1">
      <c r="A19" s="1"/>
      <c r="B19" s="12" t="inlineStr">
        <is>
          <t xml:space="preserve">서초점 판매수량 최대값 (DMAX 함수 사용)</t>
        </is>
      </c>
      <c r="C19" s="11"/>
      <c r="D19" s="11"/>
      <c r="E19" s="11"/>
      <c r="F19" s="6">
        <f>DMAX(B2:F17,F2,B2:B3)</f>
        <v>50</v>
      </c>
      <c r="G19" s="1"/>
      <c r="H19" s="8"/>
      <c r="I19" s="8"/>
      <c r="J19" s="8"/>
    </row>
    <row r="20" spans="1:10" ht="44" customHeight="1">
      <c r="A20" s="1"/>
      <c r="B20" s="12" t="inlineStr">
        <is>
          <t xml:space="preserve">에어컨 판매금액 최소값 (DMIN 함수 사용)</t>
        </is>
      </c>
      <c r="C20" s="11"/>
      <c r="D20" s="11"/>
      <c r="E20" s="11"/>
      <c r="F20" s="6">
        <f>DMIN(B2:F17,E2,H2:H3)</f>
        <v>4440000</v>
      </c>
      <c r="G20" s="1"/>
      <c r="H20" s="8"/>
      <c r="I20" s="8"/>
      <c r="J20" s="8"/>
    </row>
    <row r="21" spans="1:10" ht="44" customHeight="1">
      <c r="A21" s="1"/>
      <c r="B21" s="12" t="inlineStr">
        <is>
          <t xml:space="preserve">강남점 판매수량 평균 (DAVERAGE 함수 사용)</t>
        </is>
      </c>
      <c r="C21" s="11"/>
      <c r="D21" s="11"/>
      <c r="E21" s="11"/>
      <c r="F21" s="6">
        <f>DAVERAGE(B2:F17,5,J2:J3)</f>
        <v>39</v>
      </c>
      <c r="G21" s="1"/>
      <c r="H21" s="8"/>
      <c r="I21" s="8"/>
      <c r="J21" s="8"/>
    </row>
    <row r="22" spans="1:10" ht="44" customHeight="1">
      <c r="A22" s="1"/>
      <c r="B22" s="12" t="inlineStr">
        <is>
          <t xml:space="preserve">TV 판매금액의 숫자 개수 (DCOUNT 함수 사용)</t>
        </is>
      </c>
      <c r="C22" s="11"/>
      <c r="D22" s="11"/>
      <c r="E22" s="11"/>
      <c r="F22" s="6">
        <f>DCOUNT(B2:F17,E2,C2:C3)</f>
        <v>4</v>
      </c>
      <c r="G22" s="1"/>
      <c r="H22" s="8"/>
      <c r="I22" s="8"/>
      <c r="J22" s="8"/>
    </row>
    <row r="23" spans="1:10" ht="44" customHeight="1">
      <c r="A23" s="1"/>
      <c r="B23" s="12" t="inlineStr">
        <is>
          <t xml:space="preserve">서초점 대리점의 비어 있지 않은 개수 (DCOUNTA 함수 사용)</t>
        </is>
      </c>
      <c r="C23" s="11"/>
      <c r="D23" s="11"/>
      <c r="E23" s="11"/>
      <c r="F23" s="6">
        <f>DCOUNTA(B2:F17,B2,B2:B3)</f>
        <v>2</v>
      </c>
      <c r="G23" s="1"/>
      <c r="H23" s="8"/>
      <c r="I23" s="8"/>
      <c r="J23" s="8"/>
    </row>
    <row r="24" spans="1:10" ht="27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8" t="s">
        <v>39</v>
      </c>
      <c r="C26" s="8"/>
      <c r="D26" s="8"/>
      <c r="E26" s="8"/>
      <c r="F26" s="8"/>
      <c r="G26" s="8"/>
      <c r="H26" s="8"/>
      <c r="I26" s="8"/>
      <c r="J26" s="8"/>
    </row>
    <row r="27" spans="1:10" ht="27.95" customHeight="1">
      <c r="A27" s="1"/>
      <c r="B27" s="8"/>
      <c r="C27" s="8"/>
      <c r="D27" s="8"/>
      <c r="E27" s="8"/>
      <c r="F27" s="8"/>
      <c r="G27" s="8"/>
      <c r="H27" s="8"/>
      <c r="I27" s="8"/>
      <c r="J27" s="8"/>
    </row>
    <row r="28" spans="1:10" ht="27.95" customHeight="1">
      <c r="A28" s="1"/>
      <c r="B28" s="8"/>
      <c r="C28" s="8"/>
      <c r="D28" s="8"/>
      <c r="E28" s="8"/>
      <c r="F28" s="8"/>
      <c r="G28" s="8"/>
      <c r="H28" s="8"/>
      <c r="I28" s="8"/>
      <c r="J28" s="8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0">
    <mergeCell ref="B26:J28"/>
    <mergeCell ref="B1:F1"/>
    <mergeCell ref="H9:J14"/>
    <mergeCell ref="H16:J23"/>
    <mergeCell ref="B18:E18"/>
    <mergeCell ref="B19:E19"/>
    <mergeCell ref="B20:E20"/>
    <mergeCell ref="B21:E21"/>
    <mergeCell ref="B22:E22"/>
    <mergeCell ref="B23:E23"/>
  </mergeCells>
  <phoneticPr fontId="5" type="noConversion"/>
  <printOptions headings="1" gridLines="1"/>
  <pageMargins left="0.16666666666666666" right="0.16666666666666666" top="0.16666666666666666" bottom="0.1666666666666666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4.25"/>
  <cols>
    <col min="1" max="1" width="3" customWidth="1"/>
    <col min="2" max="10" width="16" customWidth="1"/>
  </cols>
  <sheetData>
    <row r="1" spans="1:10" ht="27.95" customHeight="1">
      <c r="A1" s="1"/>
      <c r="B1" s="9" t="s">
        <v>41</v>
      </c>
      <c r="C1" s="10"/>
      <c r="D1" s="10"/>
      <c r="E1" s="10"/>
      <c r="F1" s="10"/>
      <c r="G1" s="1"/>
      <c r="H1" s="1"/>
      <c r="I1" s="1"/>
      <c r="J1" s="1"/>
    </row>
    <row r="2" spans="1:10" ht="27.9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95" customHeight="1">
      <c r="A3" s="1"/>
      <c r="B3" s="3" t="s">
        <v>42</v>
      </c>
      <c r="C3" s="3" t="s">
        <v>2</v>
      </c>
      <c r="D3" s="3" t="s">
        <v>4</v>
      </c>
      <c r="E3" s="3" t="s">
        <v>43</v>
      </c>
      <c r="F3" s="1"/>
      <c r="G3" s="2" t="s">
        <v>2</v>
      </c>
      <c r="H3" s="1"/>
      <c r="I3" s="1"/>
      <c r="J3" s="1"/>
    </row>
    <row r="4" spans="1:10" ht="27.95" customHeight="1">
      <c r="A4" s="1"/>
      <c r="B4" s="7">
        <v>1</v>
      </c>
      <c r="C4" s="1" t="s">
        <v>7</v>
      </c>
      <c r="D4" s="4">
        <v>100</v>
      </c>
      <c r="E4" s="1" t="s">
        <v>44</v>
      </c>
      <c r="F4" s="1"/>
      <c r="G4" s="1" t="s">
        <v>7</v>
      </c>
      <c r="H4" s="1"/>
      <c r="I4" s="1"/>
      <c r="J4" s="1"/>
    </row>
    <row r="5" spans="1:10" ht="27.95" customHeight="1">
      <c r="A5" s="1"/>
      <c r="B5" s="7">
        <v>2</v>
      </c>
      <c r="C5" s="1" t="s">
        <v>7</v>
      </c>
      <c r="D5" s="4"/>
      <c r="E5" s="1" t="s">
        <v>45</v>
      </c>
      <c r="F5" s="1"/>
      <c r="G5" s="1"/>
      <c r="H5" s="1"/>
      <c r="I5" s="1"/>
      <c r="J5" s="1"/>
    </row>
    <row r="6" spans="1:10" ht="27.95" customHeight="1">
      <c r="A6" s="1"/>
      <c r="B6" s="7">
        <v>3</v>
      </c>
      <c r="C6" s="1" t="s">
        <v>7</v>
      </c>
      <c r="D6" s="4" t="s">
        <v>46</v>
      </c>
      <c r="E6" s="1"/>
      <c r="F6" s="1"/>
      <c r="G6" s="1"/>
      <c r="H6" s="1"/>
      <c r="I6" s="1"/>
      <c r="J6" s="1"/>
    </row>
    <row r="7" spans="1:10" ht="27.95" customHeight="1">
      <c r="A7" s="1"/>
      <c r="B7" s="7">
        <v>4</v>
      </c>
      <c r="C7" s="1" t="s">
        <v>9</v>
      </c>
      <c r="D7" s="4">
        <v>300</v>
      </c>
      <c r="E7" s="1" t="s">
        <v>44</v>
      </c>
      <c r="F7" s="1"/>
      <c r="G7" s="2" t="s">
        <v>2</v>
      </c>
      <c r="H7" s="2" t="s">
        <v>4</v>
      </c>
      <c r="I7" s="1"/>
      <c r="J7" s="1"/>
    </row>
    <row r="8" spans="1:10" ht="27.95" customHeight="1">
      <c r="A8" s="1"/>
      <c r="B8" s="1"/>
      <c r="C8" s="1"/>
      <c r="D8" s="1"/>
      <c r="E8" s="1"/>
      <c r="F8" s="1"/>
      <c r="G8" s="1" t="s">
        <v>7</v>
      </c>
      <c r="H8" s="1" t="s">
        <v>47</v>
      </c>
      <c r="I8" s="1"/>
      <c r="J8" s="1"/>
    </row>
    <row r="9" spans="1:10" ht="27.9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7.95" customHeight="1">
      <c r="A10" s="1"/>
      <c r="B10" s="8" t="s">
        <v>48</v>
      </c>
      <c r="C10" s="8"/>
      <c r="D10" s="8"/>
      <c r="E10" s="8"/>
      <c r="F10" s="8"/>
      <c r="G10" s="1"/>
      <c r="H10" s="1"/>
      <c r="I10" s="1"/>
      <c r="J10" s="1"/>
    </row>
    <row r="11" spans="1:10" ht="27.95" customHeight="1">
      <c r="A11" s="1"/>
      <c r="B11" s="8"/>
      <c r="C11" s="8"/>
      <c r="D11" s="8"/>
      <c r="E11" s="8"/>
      <c r="F11" s="8"/>
      <c r="G11" s="2" t="s">
        <v>2</v>
      </c>
      <c r="H11" s="1"/>
      <c r="I11" s="1"/>
      <c r="J11" s="1"/>
    </row>
    <row r="12" spans="1:10" ht="27.95" customHeight="1">
      <c r="A12" s="1"/>
      <c r="B12" s="8"/>
      <c r="C12" s="8"/>
      <c r="D12" s="8"/>
      <c r="E12" s="8"/>
      <c r="F12" s="8"/>
      <c r="G12" s="1" t="s">
        <v>7</v>
      </c>
      <c r="H12" s="1"/>
      <c r="I12" s="1"/>
      <c r="J12" s="1"/>
    </row>
    <row r="13" spans="1:10" ht="27.95" customHeight="1">
      <c r="A13" s="1"/>
      <c r="B13" s="8"/>
      <c r="C13" s="8"/>
      <c r="D13" s="8"/>
      <c r="E13" s="8"/>
      <c r="F13" s="8"/>
      <c r="G13" s="1" t="s">
        <v>9</v>
      </c>
      <c r="H13" s="1"/>
      <c r="I13" s="1"/>
      <c r="J13" s="1"/>
    </row>
    <row r="14" spans="1:10" ht="27.9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.9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7.9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44" customHeight="1">
      <c r="A17" s="1"/>
      <c r="B17" s="12" t="inlineStr">
        <is>
          <t xml:space="preserve">TV 판매금액에서 숫자 개수 (DCOUNT 함수 사용)</t>
        </is>
      </c>
      <c r="C17" s="11"/>
      <c r="D17" s="11"/>
      <c r="E17" s="11"/>
      <c r="F17" s="5"/>
      <c r="G17" s="1"/>
      <c r="H17" s="1"/>
      <c r="I17" s="1"/>
      <c r="J17" s="1"/>
    </row>
    <row r="18" spans="1:10" ht="44" customHeight="1">
      <c r="A18" s="1"/>
      <c r="B18" s="12" t="inlineStr">
        <is>
          <t xml:space="preserve">TV 판매금액에서 비어 있지 않은 개수 (DCOUNTA 함수 사용)</t>
        </is>
      </c>
      <c r="C18" s="11"/>
      <c r="D18" s="11"/>
      <c r="E18" s="11"/>
      <c r="F18" s="5"/>
      <c r="G18" s="1"/>
      <c r="H18" s="1"/>
      <c r="I18" s="1"/>
      <c r="J18" s="1"/>
    </row>
    <row r="19" spans="1:10" ht="44" customHeight="1">
      <c r="A19" s="1"/>
      <c r="B19" s="12" t="inlineStr">
        <is>
          <t xml:space="preserve">TV 번호에서 비어 있지 않은 개수 (DCOUNTA 함수 사용)</t>
        </is>
      </c>
      <c r="C19" s="11"/>
      <c r="D19" s="11"/>
      <c r="E19" s="11"/>
      <c r="F19" s="5"/>
      <c r="G19" s="1"/>
      <c r="H19" s="1"/>
      <c r="I19" s="1"/>
      <c r="J19" s="1"/>
    </row>
    <row r="20" spans="1:10" ht="44" customHeight="1">
      <c r="A20" s="1"/>
      <c r="B20" s="12" t="inlineStr">
        <is>
          <t xml:space="preserve">TV이면서 판매금액 100 이상 합계 (DSUM 함수 사용)</t>
        </is>
      </c>
      <c r="C20" s="11"/>
      <c r="D20" s="11"/>
      <c r="E20" s="11"/>
      <c r="F20" s="5"/>
      <c r="G20" s="1"/>
      <c r="H20" s="1"/>
      <c r="I20" s="1"/>
      <c r="J20" s="1"/>
    </row>
    <row r="21" spans="1:10" ht="44" customHeight="1">
      <c r="A21" s="1"/>
      <c r="B21" s="12" t="inlineStr">
        <is>
          <t xml:space="preserve">TV 또는 에어컨 판매금액 합계 (DSUM 함수 사용)</t>
        </is>
      </c>
      <c r="C21" s="11"/>
      <c r="D21" s="11"/>
      <c r="E21" s="11"/>
      <c r="F21" s="5"/>
      <c r="G21" s="1"/>
      <c r="H21" s="1"/>
      <c r="I21" s="1"/>
      <c r="J21" s="1"/>
    </row>
    <row r="22" spans="1:10" ht="27.9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.9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8" t="s">
        <v>39</v>
      </c>
      <c r="C26" s="8"/>
      <c r="D26" s="8"/>
      <c r="E26" s="8"/>
      <c r="F26" s="8"/>
      <c r="G26" s="8"/>
      <c r="H26" s="8"/>
      <c r="I26" s="8"/>
      <c r="J26" s="8"/>
    </row>
    <row r="27" spans="1:10" ht="27.95" customHeight="1">
      <c r="A27" s="1"/>
      <c r="B27" s="8"/>
      <c r="C27" s="8"/>
      <c r="D27" s="8"/>
      <c r="E27" s="8"/>
      <c r="F27" s="8"/>
      <c r="G27" s="8"/>
      <c r="H27" s="8"/>
      <c r="I27" s="8"/>
      <c r="J27" s="8"/>
    </row>
    <row r="28" spans="1:10" ht="27.95" customHeight="1">
      <c r="A28" s="1"/>
      <c r="B28" s="8"/>
      <c r="C28" s="8"/>
      <c r="D28" s="8"/>
      <c r="E28" s="8"/>
      <c r="F28" s="8"/>
      <c r="G28" s="8"/>
      <c r="H28" s="8"/>
      <c r="I28" s="8"/>
      <c r="J28" s="8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8">
    <mergeCell ref="B20:E20"/>
    <mergeCell ref="B21:E21"/>
    <mergeCell ref="B26:J28"/>
    <mergeCell ref="B1:F1"/>
    <mergeCell ref="B10:F13"/>
    <mergeCell ref="B17:E17"/>
    <mergeCell ref="B18:E18"/>
    <mergeCell ref="B19:E19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1"/>
  <sheetViews>
    <sheetView workbookViewId="0"/>
  </sheetViews>
  <sheetFormatPr defaultRowHeight="14.25"/>
  <cols>
    <col min="1" max="1" width="3" customWidth="1"/>
    <col min="2" max="10" width="16" customWidth="1"/>
  </cols>
  <sheetData>
    <row r="1" spans="1:10" ht="27.95" customHeight="1">
      <c r="A1" s="1"/>
      <c r="B1" s="9" t="s">
        <v>54</v>
      </c>
      <c r="C1" s="10"/>
      <c r="D1" s="10"/>
      <c r="E1" s="10"/>
      <c r="F1" s="10"/>
      <c r="G1" s="1"/>
      <c r="H1" s="1"/>
      <c r="I1" s="1"/>
      <c r="J1" s="1"/>
    </row>
    <row r="2" spans="1:10" ht="27.9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.95" customHeight="1">
      <c r="A3" s="1"/>
      <c r="B3" s="3" t="s">
        <v>42</v>
      </c>
      <c r="C3" s="3" t="s">
        <v>2</v>
      </c>
      <c r="D3" s="3" t="s">
        <v>4</v>
      </c>
      <c r="E3" s="3" t="s">
        <v>43</v>
      </c>
      <c r="F3" s="1"/>
      <c r="G3" s="2" t="s">
        <v>2</v>
      </c>
      <c r="H3" s="1"/>
      <c r="I3" s="1"/>
      <c r="J3" s="1"/>
    </row>
    <row r="4" spans="1:10" ht="27.95" customHeight="1">
      <c r="A4" s="1"/>
      <c r="B4" s="7">
        <v>1</v>
      </c>
      <c r="C4" s="1" t="s">
        <v>7</v>
      </c>
      <c r="D4" s="4">
        <v>100</v>
      </c>
      <c r="E4" s="1" t="s">
        <v>44</v>
      </c>
      <c r="F4" s="1"/>
      <c r="G4" s="1" t="s">
        <v>7</v>
      </c>
      <c r="H4" s="1"/>
      <c r="I4" s="1"/>
      <c r="J4" s="1"/>
    </row>
    <row r="5" spans="1:10" ht="27.95" customHeight="1">
      <c r="A5" s="1"/>
      <c r="B5" s="7">
        <v>2</v>
      </c>
      <c r="C5" s="1" t="s">
        <v>7</v>
      </c>
      <c r="D5" s="4"/>
      <c r="E5" s="1" t="s">
        <v>45</v>
      </c>
      <c r="F5" s="1"/>
      <c r="G5" s="1"/>
      <c r="H5" s="1"/>
      <c r="I5" s="1"/>
      <c r="J5" s="1"/>
    </row>
    <row r="6" spans="1:10" ht="27.95" customHeight="1">
      <c r="A6" s="1"/>
      <c r="B6" s="7">
        <v>3</v>
      </c>
      <c r="C6" s="1" t="s">
        <v>7</v>
      </c>
      <c r="D6" s="4" t="s">
        <v>46</v>
      </c>
      <c r="E6" s="1"/>
      <c r="F6" s="1"/>
      <c r="G6" s="1"/>
      <c r="H6" s="1"/>
      <c r="I6" s="1"/>
      <c r="J6" s="1"/>
    </row>
    <row r="7" spans="1:10" ht="27.95" customHeight="1">
      <c r="A7" s="1"/>
      <c r="B7" s="7">
        <v>4</v>
      </c>
      <c r="C7" s="1" t="s">
        <v>9</v>
      </c>
      <c r="D7" s="4">
        <v>300</v>
      </c>
      <c r="E7" s="1" t="s">
        <v>44</v>
      </c>
      <c r="F7" s="1"/>
      <c r="G7" s="2" t="s">
        <v>2</v>
      </c>
      <c r="H7" s="2" t="s">
        <v>4</v>
      </c>
      <c r="I7" s="1"/>
      <c r="J7" s="1"/>
    </row>
    <row r="8" spans="1:10" ht="27.95" customHeight="1">
      <c r="A8" s="1"/>
      <c r="B8" s="1"/>
      <c r="C8" s="1"/>
      <c r="D8" s="1"/>
      <c r="E8" s="1"/>
      <c r="F8" s="1"/>
      <c r="G8" s="1" t="s">
        <v>7</v>
      </c>
      <c r="H8" s="1" t="s">
        <v>47</v>
      </c>
      <c r="I8" s="1"/>
      <c r="J8" s="1"/>
    </row>
    <row r="9" spans="1:10" ht="27.9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27.95" customHeight="1">
      <c r="A10" s="1"/>
      <c r="B10" s="8" t="s">
        <v>48</v>
      </c>
      <c r="C10" s="8"/>
      <c r="D10" s="8"/>
      <c r="E10" s="8"/>
      <c r="F10" s="8"/>
      <c r="G10" s="1"/>
      <c r="H10" s="1"/>
      <c r="I10" s="1"/>
      <c r="J10" s="1"/>
    </row>
    <row r="11" spans="1:10" ht="27.95" customHeight="1">
      <c r="A11" s="1"/>
      <c r="B11" s="8"/>
      <c r="C11" s="8"/>
      <c r="D11" s="8"/>
      <c r="E11" s="8"/>
      <c r="F11" s="8"/>
      <c r="G11" s="2" t="s">
        <v>2</v>
      </c>
      <c r="H11" s="1"/>
      <c r="I11" s="1"/>
      <c r="J11" s="1"/>
    </row>
    <row r="12" spans="1:10" ht="27.95" customHeight="1">
      <c r="A12" s="1"/>
      <c r="B12" s="8"/>
      <c r="C12" s="8"/>
      <c r="D12" s="8"/>
      <c r="E12" s="8"/>
      <c r="F12" s="8"/>
      <c r="G12" s="1" t="s">
        <v>7</v>
      </c>
      <c r="H12" s="1"/>
      <c r="I12" s="1"/>
      <c r="J12" s="1"/>
    </row>
    <row r="13" spans="1:10" ht="27.95" customHeight="1">
      <c r="A13" s="1"/>
      <c r="B13" s="8"/>
      <c r="C13" s="8"/>
      <c r="D13" s="8"/>
      <c r="E13" s="8"/>
      <c r="F13" s="8"/>
      <c r="G13" s="1" t="s">
        <v>9</v>
      </c>
      <c r="H13" s="1"/>
      <c r="I13" s="1"/>
      <c r="J13" s="1"/>
    </row>
    <row r="14" spans="1:10" ht="27.9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.9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7.9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44" customHeight="1">
      <c r="A17" s="1"/>
      <c r="B17" s="12" t="inlineStr">
        <is>
          <t xml:space="preserve">TV 판매금액에서 숫자 개수 (DCOUNT 함수 사용)</t>
        </is>
      </c>
      <c r="C17" s="11"/>
      <c r="D17" s="11"/>
      <c r="E17" s="11"/>
      <c r="F17" s="6">
        <f>DCOUNT(B3:E7,"판매금액",G3:G4)</f>
        <v>1</v>
      </c>
      <c r="G17" s="1"/>
      <c r="H17" s="1"/>
      <c r="I17" s="1"/>
      <c r="J17" s="1"/>
    </row>
    <row r="18" spans="1:10" ht="44" customHeight="1">
      <c r="A18" s="1"/>
      <c r="B18" s="12" t="inlineStr">
        <is>
          <t xml:space="preserve">TV 판매금액에서 비어 있지 않은 개수 (DCOUNTA 함수 사용)</t>
        </is>
      </c>
      <c r="C18" s="11"/>
      <c r="D18" s="11"/>
      <c r="E18" s="11"/>
      <c r="F18" s="6">
        <f>DCOUNTA(B3:E7,"판매금액",G3:G4)</f>
        <v>2</v>
      </c>
      <c r="G18" s="1"/>
      <c r="H18" s="1"/>
      <c r="I18" s="1"/>
      <c r="J18" s="1"/>
    </row>
    <row r="19" spans="1:10" ht="44" customHeight="1">
      <c r="A19" s="1"/>
      <c r="B19" s="12" t="inlineStr">
        <is>
          <t xml:space="preserve">TV 번호에서 비어 있지 않은 개수 (DCOUNTA 함수 사용)</t>
        </is>
      </c>
      <c r="C19" s="11"/>
      <c r="D19" s="11"/>
      <c r="E19" s="11"/>
      <c r="F19" s="6">
        <f>DCOUNTA(B3:E7,"번호",G3:G4)</f>
        <v>3</v>
      </c>
      <c r="G19" s="1"/>
      <c r="H19" s="1"/>
      <c r="I19" s="1"/>
      <c r="J19" s="1"/>
    </row>
    <row r="20" spans="1:10" ht="44" customHeight="1">
      <c r="A20" s="1"/>
      <c r="B20" s="12" t="inlineStr">
        <is>
          <t xml:space="preserve">TV이면서 판매금액 100 이상 합계 (DSUM 함수 사용)</t>
        </is>
      </c>
      <c r="C20" s="11"/>
      <c r="D20" s="11"/>
      <c r="E20" s="11"/>
      <c r="F20" s="6">
        <f>DSUM(B3:E7,"판매금액",G7:H8)</f>
        <v>100</v>
      </c>
      <c r="G20" s="1"/>
      <c r="H20" s="1"/>
      <c r="I20" s="1"/>
      <c r="J20" s="1"/>
    </row>
    <row r="21" spans="1:10" ht="44" customHeight="1">
      <c r="A21" s="1"/>
      <c r="B21" s="12" t="inlineStr">
        <is>
          <t xml:space="preserve">TV 또는 에어컨 판매금액 합계 (DSUM 함수 사용)</t>
        </is>
      </c>
      <c r="C21" s="11"/>
      <c r="D21" s="11"/>
      <c r="E21" s="11"/>
      <c r="F21" s="6">
        <f>DSUM(B3:E7,"판매금액",G11:G13)</f>
        <v>400</v>
      </c>
      <c r="G21" s="1"/>
      <c r="H21" s="1"/>
      <c r="I21" s="1"/>
      <c r="J21" s="1"/>
    </row>
    <row r="22" spans="1:10" ht="27.9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.9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27.9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7.9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7.95" customHeight="1">
      <c r="A26" s="1"/>
      <c r="B26" s="8" t="s">
        <v>39</v>
      </c>
      <c r="C26" s="8"/>
      <c r="D26" s="8"/>
      <c r="E26" s="8"/>
      <c r="F26" s="8"/>
      <c r="G26" s="8"/>
      <c r="H26" s="8"/>
      <c r="I26" s="8"/>
      <c r="J26" s="8"/>
    </row>
    <row r="27" spans="1:10" ht="27.95" customHeight="1">
      <c r="A27" s="1"/>
      <c r="B27" s="8"/>
      <c r="C27" s="8"/>
      <c r="D27" s="8"/>
      <c r="E27" s="8"/>
      <c r="F27" s="8"/>
      <c r="G27" s="8"/>
      <c r="H27" s="8"/>
      <c r="I27" s="8"/>
      <c r="J27" s="8"/>
    </row>
    <row r="28" spans="1:10" ht="27.95" customHeight="1">
      <c r="A28" s="1"/>
      <c r="B28" s="8"/>
      <c r="C28" s="8"/>
      <c r="D28" s="8"/>
      <c r="E28" s="8"/>
      <c r="F28" s="8"/>
      <c r="G28" s="8"/>
      <c r="H28" s="8"/>
      <c r="I28" s="8"/>
      <c r="J28" s="8"/>
    </row>
    <row r="29" spans="1:10" ht="27.9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7.9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7.9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8">
    <mergeCell ref="B20:E20"/>
    <mergeCell ref="B21:E21"/>
    <mergeCell ref="B26:J28"/>
    <mergeCell ref="B1:F1"/>
    <mergeCell ref="B10:F13"/>
    <mergeCell ref="B17:E17"/>
    <mergeCell ref="B18:E18"/>
    <mergeCell ref="B19:E19"/>
  </mergeCells>
  <phoneticPr fontId="5" type="noConversion"/>
  <printOptions headings="1" gridLines="1"/>
  <pageMargins left="0.16666666666666666" right="0.16666666666666666" top="0.16666666666666666" bottom="0.1666666666666666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실습</vt:lpstr>
      <vt:lpstr>정답</vt:lpstr>
      <vt:lpstr>추가실습</vt:lpstr>
      <vt:lpstr>추가정답</vt:lpstr>
      <vt:lpstr>정답!Print_Area</vt:lpstr>
      <vt:lpstr>추가정답!Print_Area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cp:lastPrinted>2026-10-06T11:29:26Z</cp:lastPrinted>
  <dcterms:modified xsi:type="dcterms:W3CDTF">2026-10-07T03:51:04Z</dcterms:modified>
</cp:coreProperties>
</file>