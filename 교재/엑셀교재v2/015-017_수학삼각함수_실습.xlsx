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98c0f85afa4f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실습" sheetId="1" r:id="R0924df1ab6194106"/>
    <x:sheet xmlns:r="http://schemas.openxmlformats.org/officeDocument/2006/relationships" name="정답" sheetId="2" r:id="Rca1d619014144d49"/>
    <x:sheet xmlns:r="http://schemas.openxmlformats.org/officeDocument/2006/relationships" name="추가실습" sheetId="3" r:id="Rc117c348d92743c9"/>
    <x:sheet xmlns:r="http://schemas.openxmlformats.org/officeDocument/2006/relationships" name="추가정답" sheetId="4" r:id="R4bba2ba46ed349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"/>
    <x:numFmt numFmtId="201" formatCode="#,##0.000"/>
    <x:numFmt numFmtId="202" formatCode="0.0"/>
    <x:numFmt numFmtId="203" formatCode="#,##0.00"/>
    <x:numFmt numFmtId="204" formatCode="0"/>
    <x:numFmt numFmtId="205" formatCode="0.000"/>
  </x:numFmts>
  <x:fonts count="4">
    <x:font>
      <x:sz val="11"/>
      <x:name val="Carlito"/>
    </x:font>
    <x:font>
      <x:sz val="11"/>
      <x:name val="Malgun Gothic"/>
    </x:font>
    <x:font>
      <x:b/>
      <x:sz val="16"/>
      <x:name val="Malgun Gothic"/>
    </x:font>
    <x:font>
      <x:b/>
      <x:sz val="11"/>
      <x:name val="Malgun Gothic"/>
    </x:font>
  </x:fonts>
  <x:fills count="6">
    <x:fill>
      <x:patternFill patternType="none"/>
    </x:fill>
    <x:fill>
      <x:patternFill patternType="gray125"/>
    </x:fill>
    <x:fill>
      <x:patternFill patternType="solid">
        <x:fgColor rgb="FFDDEBF7"/>
      </x:patternFill>
    </x:fill>
    <x:fill>
      <x:patternFill patternType="solid">
        <x:fgColor rgb="FFF1F5F9"/>
      </x:patternFill>
    </x:fill>
    <x:fill>
      <x:patternFill patternType="solid">
        <x:fgColor rgb="FFFFF2CC"/>
      </x:patternFill>
    </x:fill>
    <x:fill>
      <x:patternFill patternType="solid">
        <x:fgColor rgb="FFE2EFDA"/>
      </x:patternFill>
    </x:fill>
  </x:fills>
  <x:borders count="1">
    <x:border/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/>
    </x:xf>
    <x:xf numFmtId="203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4" fontId="1" fillId="5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2" fontId="1" fillId="5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b179f120734881" /><Relationship Type="http://schemas.openxmlformats.org/officeDocument/2006/relationships/theme" Target="/xl/theme/theme1.xml" Id="Rcd29f8abddd24a18" /><Relationship Type="http://schemas.openxmlformats.org/officeDocument/2006/relationships/sharedStrings" Target="/xl/sharedStrings.xml" Id="Rfd46a357e00940c8" /><Relationship Type="http://schemas.openxmlformats.org/officeDocument/2006/relationships/worksheet" Target="/xl/worksheets/sheet1.xml" Id="R0924df1ab6194106" /><Relationship Type="http://schemas.openxmlformats.org/officeDocument/2006/relationships/worksheet" Target="/xl/worksheets/sheet2.xml" Id="Rca1d619014144d49" /><Relationship Type="http://schemas.openxmlformats.org/officeDocument/2006/relationships/worksheet" Target="/xl/worksheets/sheet3.xml" Id="Rc117c348d92743c9" /><Relationship Type="http://schemas.openxmlformats.org/officeDocument/2006/relationships/worksheet" Target="/xl/worksheets/sheet4.xml" Id="R4bba2ba46ed349d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13" hidden="0" customWidth="1"/>
    <x:col min="2" max="2" width="13" hidden="0" customWidth="1"/>
    <x:col min="3" max="3" width="17" hidden="0" customWidth="1"/>
    <x:col min="4" max="4" width="15" hidden="0" customWidth="1"/>
    <x:col min="5" max="5" width="18" hidden="0" customWidth="1"/>
    <x:col min="6" max="6" width="17" hidden="0" customWidth="1"/>
    <x:col min="7" max="7" width="13" hidden="0" customWidth="1"/>
    <x:col min="8" max="8" width="19" hidden="0" customWidth="1"/>
    <x:col min="9" max="9" width="19" hidden="0" customWidth="1"/>
    <x:col min="10" max="10" width="19" hidden="0" customWidth="1"/>
  </x:cols>
  <x:sheetData>
    <x:row r="1" ht="28" customHeight="1">
      <x:c r="A1" s="2"/>
      <x:c r="B1" s="3" t="str">
        <x:v>수학 삼각 함수 실습</x:v>
      </x:c>
      <x:c r="C1" s="2"/>
      <x:c r="D1" s="2"/>
      <x:c r="E1" s="2"/>
      <x:c r="F1" s="2"/>
      <x:c r="G1" s="2"/>
      <x:c r="H1" s="2"/>
      <x:c r="I1" s="2"/>
      <x:c r="J1" s="2"/>
    </x:row>
    <x:row r="2" ht="28" customHeight="1">
      <x:c r="A2" s="2"/>
      <x:c r="B2" s="5" t="str">
        <x:v>대리점명</x:v>
      </x:c>
      <x:c r="C2" s="5" t="str">
        <x:v>제품명</x:v>
      </x:c>
      <x:c r="D2" s="5" t="str">
        <x:v>판매사원</x:v>
      </x:c>
      <x:c r="E2" s="5" t="str">
        <x:v>판매금액</x:v>
      </x:c>
      <x:c r="F2" s="5" t="str">
        <x:v>판매수량</x:v>
      </x:c>
      <x:c r="G2" s="2"/>
      <x:c r="H2" s="4" t="str">
        <x:v>단가</x:v>
      </x:c>
      <x:c r="I2" s="4" t="str">
        <x:v>판매수량</x:v>
      </x:c>
      <x:c r="J2" s="2"/>
    </x:row>
    <x:row r="3" ht="28" customHeight="1">
      <x:c r="A3" s="2"/>
      <x:c r="B3" s="2" t="str">
        <x:v>서초점</x:v>
      </x:c>
      <x:c r="C3" s="2" t="str">
        <x:v>TV</x:v>
      </x:c>
      <x:c r="D3" s="2" t="str">
        <x:v>백예린</x:v>
      </x:c>
      <x:c r="E3" s="6" t="n">
        <x:v>1110000</x:v>
      </x:c>
      <x:c r="F3" s="6" t="n">
        <x:v>20</x:v>
      </x:c>
      <x:c r="G3" s="2"/>
      <x:c r="H3" s="6" t="n">
        <x:v>1200</x:v>
      </x:c>
      <x:c r="I3" s="6" t="n">
        <x:v>16</x:v>
      </x:c>
      <x:c r="J3" s="2"/>
    </x:row>
    <x:row r="4" ht="28" customHeight="1">
      <x:c r="A4" s="2"/>
      <x:c r="B4" s="2" t="str">
        <x:v>강남점</x:v>
      </x:c>
      <x:c r="C4" s="2" t="str">
        <x:v>세탁기</x:v>
      </x:c>
      <x:c r="D4" s="2" t="str">
        <x:v>이정인</x:v>
      </x:c>
      <x:c r="E4" s="6" t="n">
        <x:v>2215200</x:v>
      </x:c>
      <x:c r="F4" s="6" t="n">
        <x:v>60</x:v>
      </x:c>
      <x:c r="G4" s="2"/>
      <x:c r="H4" s="6" t="n">
        <x:v>1500</x:v>
      </x:c>
      <x:c r="I4" s="6" t="n">
        <x:v>15</x:v>
      </x:c>
      <x:c r="J4" s="2"/>
    </x:row>
    <x:row r="5" ht="28" customHeight="1">
      <x:c r="A5" s="2"/>
      <x:c r="B5" s="2" t="str">
        <x:v>대림점</x:v>
      </x:c>
      <x:c r="C5" s="2" t="str">
        <x:v>에어컨</x:v>
      </x:c>
      <x:c r="D5" s="2" t="str">
        <x:v>김동수</x:v>
      </x:c>
      <x:c r="E5" s="6" t="n">
        <x:v>4440000</x:v>
      </x:c>
      <x:c r="F5" s="6" t="n">
        <x:v>30</x:v>
      </x:c>
      <x:c r="G5" s="2"/>
      <x:c r="H5" s="6" t="n">
        <x:v>2000</x:v>
      </x:c>
      <x:c r="I5" s="6" t="n">
        <x:v>20</x:v>
      </x:c>
      <x:c r="J5" s="2"/>
    </x:row>
    <x:row r="6" ht="28" customHeight="1">
      <x:c r="A6" s="2"/>
      <x:c r="B6" s="2" t="str">
        <x:v>서초점</x:v>
      </x:c>
      <x:c r="C6" s="2" t="str">
        <x:v>TV</x:v>
      </x:c>
      <x:c r="D6" s="2" t="str">
        <x:v>김석훈</x:v>
      </x:c>
      <x:c r="E6" s="6" t="n">
        <x:v>3332500</x:v>
      </x:c>
      <x:c r="F6" s="6" t="n">
        <x:v>50</x:v>
      </x:c>
      <x:c r="G6" s="2"/>
      <x:c r="H6" s="6" t="str">
        <x:v>판매총액</x:v>
      </x:c>
      <x:c r="I6" s="8"/>
      <x:c r="J6" s="2"/>
    </x:row>
    <x:row r="7" ht="28" customHeight="1">
      <x:c r="A7" s="2"/>
      <x:c r="B7" s="2" t="str">
        <x:v>역삼점</x:v>
      </x:c>
      <x:c r="C7" s="2" t="str">
        <x:v>에어컨</x:v>
      </x:c>
      <x:c r="D7" s="2" t="str">
        <x:v>이명유</x:v>
      </x:c>
      <x:c r="E7" s="6" t="n">
        <x:v>6845200</x:v>
      </x:c>
      <x:c r="F7" s="6" t="n">
        <x:v>40</x:v>
      </x:c>
      <x:c r="G7" s="2"/>
      <x:c r="H7" s="2"/>
      <x:c r="I7" s="2"/>
      <x:c r="J7" s="2"/>
    </x:row>
    <x:row r="8" ht="28" customHeight="1">
      <x:c r="A8" s="2"/>
      <x:c r="B8" s="2" t="str">
        <x:v>강남점</x:v>
      </x:c>
      <x:c r="C8" s="2" t="str">
        <x:v>세탁기</x:v>
      </x:c>
      <x:c r="D8" s="2" t="str">
        <x:v>박동수</x:v>
      </x:c>
      <x:c r="E8" s="6" t="n">
        <x:v>3330000</x:v>
      </x:c>
      <x:c r="F8" s="6" t="n">
        <x:v>33</x:v>
      </x:c>
      <x:c r="G8" s="2"/>
      <x:c r="H8" s="2"/>
      <x:c r="I8" s="2"/>
      <x:c r="J8" s="2"/>
    </x:row>
    <x:row r="9" ht="28" customHeight="1">
      <x:c r="A9" s="2"/>
      <x:c r="B9" s="2" t="str">
        <x:v>구로점</x:v>
      </x:c>
      <x:c r="C9" s="2" t="str">
        <x:v>TV</x:v>
      </x:c>
      <x:c r="D9" s="2" t="str">
        <x:v>이범수</x:v>
      </x:c>
      <x:c r="E9" s="6" t="n">
        <x:v>5123000</x:v>
      </x:c>
      <x:c r="F9" s="6" t="n">
        <x:v>50</x:v>
      </x:c>
      <x:c r="G9" s="2"/>
      <x:c r="H9" s="4" t="str">
        <x:v>원본 값</x:v>
      </x:c>
      <x:c r="I9" s="4" t="str">
        <x:v>사용 함수</x:v>
      </x:c>
      <x:c r="J9" s="4" t="str">
        <x:v>결과 입력</x:v>
      </x:c>
    </x:row>
    <x:row r="10" ht="28" customHeight="1">
      <x:c r="A10" s="2"/>
      <x:c r="B10" s="2" t="str">
        <x:v>구로점</x:v>
      </x:c>
      <x:c r="C10" s="2" t="str">
        <x:v>김치냉장고</x:v>
      </x:c>
      <x:c r="D10" s="2" t="str">
        <x:v>지명수</x:v>
      </x:c>
      <x:c r="E10" s="6" t="n">
        <x:v>3384500</x:v>
      </x:c>
      <x:c r="F10" s="6" t="n">
        <x:v>55</x:v>
      </x:c>
      <x:c r="G10" s="2"/>
      <x:c r="H10" s="9" t="n">
        <x:v>12345.123</x:v>
      </x:c>
      <x:c r="I10" s="2" t="str">
        <x:v>ROUND</x:v>
      </x:c>
      <x:c r="J10" s="12"/>
    </x:row>
    <x:row r="11" ht="28" customHeight="1">
      <x:c r="A11" s="2"/>
      <x:c r="B11" s="2" t="str">
        <x:v>강남점</x:v>
      </x:c>
      <x:c r="C11" s="2" t="str">
        <x:v>김치냉장고</x:v>
      </x:c>
      <x:c r="D11" s="2" t="str">
        <x:v>배태지</x:v>
      </x:c>
      <x:c r="E11" s="6" t="n">
        <x:v>7451200</x:v>
      </x:c>
      <x:c r="F11" s="6" t="n">
        <x:v>30</x:v>
      </x:c>
      <x:c r="G11" s="2"/>
      <x:c r="H11" s="9" t="n">
        <x:v>12345.123</x:v>
      </x:c>
      <x:c r="I11" s="2" t="str">
        <x:v>ROUNDDOWN</x:v>
      </x:c>
      <x:c r="J11" s="8"/>
    </x:row>
    <x:row r="12" ht="28" customHeight="1">
      <x:c r="A12" s="2"/>
      <x:c r="B12" s="2" t="str">
        <x:v>역삼점</x:v>
      </x:c>
      <x:c r="C12" s="2" t="str">
        <x:v>세탁기</x:v>
      </x:c>
      <x:c r="D12" s="2" t="str">
        <x:v>이은수</x:v>
      </x:c>
      <x:c r="E12" s="6" t="n">
        <x:v>9542100</x:v>
      </x:c>
      <x:c r="F12" s="6" t="n">
        <x:v>60</x:v>
      </x:c>
      <x:c r="G12" s="2"/>
      <x:c r="H12" s="9" t="n">
        <x:v>12345.123</x:v>
      </x:c>
      <x:c r="I12" s="2" t="str">
        <x:v>ROUNDUP</x:v>
      </x:c>
      <x:c r="J12" s="8"/>
    </x:row>
    <x:row r="13" ht="28" customHeight="1">
      <x:c r="A13" s="2"/>
      <x:c r="B13" s="2" t="str">
        <x:v>구로점</x:v>
      </x:c>
      <x:c r="C13" s="2" t="str">
        <x:v>에어컨</x:v>
      </x:c>
      <x:c r="D13" s="2" t="str">
        <x:v>이승원</x:v>
      </x:c>
      <x:c r="E13" s="6" t="n">
        <x:v>6345000</x:v>
      </x:c>
      <x:c r="F13" s="6" t="n">
        <x:v>15</x:v>
      </x:c>
      <x:c r="G13" s="2"/>
      <x:c r="H13" s="9" t="n">
        <x:v>12345.123</x:v>
      </x:c>
      <x:c r="I13" s="2" t="str">
        <x:v>TRUNC</x:v>
      </x:c>
      <x:c r="J13" s="8"/>
    </x:row>
    <x:row r="14" ht="28" customHeight="1">
      <x:c r="A14" s="2"/>
      <x:c r="B14" s="2" t="str">
        <x:v>강남점</x:v>
      </x:c>
      <x:c r="C14" s="2" t="str">
        <x:v>TV</x:v>
      </x:c>
      <x:c r="D14" s="2" t="str">
        <x:v>이승민</x:v>
      </x:c>
      <x:c r="E14" s="6" t="n">
        <x:v>6521420</x:v>
      </x:c>
      <x:c r="F14" s="6" t="n">
        <x:v>33</x:v>
      </x:c>
      <x:c r="G14" s="2"/>
      <x:c r="H14" s="10" t="n">
        <x:v>5.5</x:v>
      </x:c>
      <x:c r="I14" s="2" t="str">
        <x:v>INT</x:v>
      </x:c>
      <x:c r="J14" s="8"/>
    </x:row>
    <x:row r="15" ht="28" customHeight="1">
      <x:c r="A15" s="2"/>
      <x:c r="B15" s="2" t="str">
        <x:v>마곡점</x:v>
      </x:c>
      <x:c r="C15" s="2" t="str">
        <x:v>김치냉장고</x:v>
      </x:c>
      <x:c r="D15" s="2" t="str">
        <x:v>홍인분</x:v>
      </x:c>
      <x:c r="E15" s="6" t="n">
        <x:v>2456000</x:v>
      </x:c>
      <x:c r="F15" s="6" t="n">
        <x:v>25</x:v>
      </x:c>
      <x:c r="G15" s="2"/>
      <x:c r="H15" s="10" t="n">
        <x:v>-5.5</x:v>
      </x:c>
      <x:c r="I15" s="2" t="str">
        <x:v>INT</x:v>
      </x:c>
      <x:c r="J15" s="8"/>
    </x:row>
    <x:row r="16" ht="28" customHeight="1">
      <x:c r="A16" s="2"/>
      <x:c r="B16" s="2" t="str">
        <x:v>구로점</x:v>
      </x:c>
      <x:c r="C16" s="2" t="str">
        <x:v>에어컨</x:v>
      </x:c>
      <x:c r="D16" s="2" t="str">
        <x:v>한수진</x:v>
      </x:c>
      <x:c r="E16" s="6" t="n">
        <x:v>8754200</x:v>
      </x:c>
      <x:c r="F16" s="6" t="n">
        <x:v>20</x:v>
      </x:c>
      <x:c r="G16" s="2"/>
      <x:c r="H16" s="2"/>
      <x:c r="I16" s="2"/>
      <x:c r="J16" s="2"/>
    </x:row>
    <x:row r="17" ht="28" customHeight="1">
      <x:c r="A17" s="2"/>
      <x:c r="B17" s="2" t="str">
        <x:v>이대점</x:v>
      </x:c>
      <x:c r="C17" s="2" t="str">
        <x:v>세탁기</x:v>
      </x:c>
      <x:c r="D17" s="2" t="str">
        <x:v>이영희</x:v>
      </x:c>
      <x:c r="E17" s="6" t="n">
        <x:v>6453000</x:v>
      </x:c>
      <x:c r="F17" s="6" t="n">
        <x:v>50</x:v>
      </x:c>
      <x:c r="G17" s="2"/>
      <x:c r="H17" s="2"/>
      <x:c r="I17" s="2"/>
      <x:c r="J17" s="2"/>
    </x:row>
    <x:row r="18" ht="28" customHeight="1">
      <x:c r="A18" s="2"/>
      <x:c r="B18" s="7" t="str">
        <x:v>판매수량 합계</x:v>
      </x:c>
      <x:c r="C18" s="7"/>
      <x:c r="D18" s="7"/>
      <x:c r="E18" s="7"/>
      <x:c r="F18" s="8"/>
      <x:c r="G18" s="2"/>
      <x:c r="H18" s="2" t="str">
        <x:v>RANDBETWEEN</x:v>
      </x:c>
      <x:c r="I18" s="14"/>
      <x:c r="J18" s="2"/>
    </x:row>
    <x:row r="19" ht="28" customHeight="1">
      <x:c r="A19" s="2"/>
      <x:c r="B19" s="7" t="str">
        <x:v>판매금액 평균</x:v>
      </x:c>
      <x:c r="C19" s="7"/>
      <x:c r="D19" s="7"/>
      <x:c r="E19" s="7"/>
      <x:c r="F19" s="8"/>
      <x:c r="G19" s="2"/>
      <x:c r="H19" s="2"/>
      <x:c r="I19" s="2"/>
      <x:c r="J19" s="2"/>
    </x:row>
    <x:row r="20" ht="28" customHeight="1">
      <x:c r="A20" s="2"/>
      <x:c r="B20" s="7" t="str">
        <x:v>서초점 판매금액 합계</x:v>
      </x:c>
      <x:c r="C20" s="7"/>
      <x:c r="D20" s="7"/>
      <x:c r="E20" s="7"/>
      <x:c r="F20" s="8"/>
      <x:c r="G20" s="2"/>
      <x:c r="H20" s="15" t="str">
        <x:v>J10：소수 둘째 자리까지
J11：정수 자리까지
J12：십의 자리까지
J13：백의 자리에서 자름
I18：20~30 사이 정수</x:v>
      </x:c>
      <x:c r="I20" s="15"/>
      <x:c r="J20" s="15"/>
    </x:row>
    <x:row r="21" ht="28" customHeight="1">
      <x:c r="A21" s="2"/>
      <x:c r="B21" s="7" t="str">
        <x:v>강남점 판매수량 평균</x:v>
      </x:c>
      <x:c r="C21" s="7"/>
      <x:c r="D21" s="7"/>
      <x:c r="E21" s="7"/>
      <x:c r="F21" s="8"/>
      <x:c r="G21" s="2"/>
      <x:c r="H21" s="15"/>
      <x:c r="I21" s="15"/>
      <x:c r="J21" s="15"/>
    </x:row>
    <x:row r="22" ht="28" customHeight="1">
      <x:c r="A22" s="2"/>
      <x:c r="B22" s="7" t="str">
        <x:v>서초점이며 TV인 판매수량 합계</x:v>
      </x:c>
      <x:c r="C22" s="7"/>
      <x:c r="D22" s="7"/>
      <x:c r="E22" s="7"/>
      <x:c r="F22" s="8"/>
      <x:c r="G22" s="2"/>
      <x:c r="H22" s="15"/>
      <x:c r="I22" s="15"/>
      <x:c r="J22" s="15"/>
    </x:row>
    <x:row r="23" ht="28" customHeight="1">
      <x:c r="A23" s="2"/>
      <x:c r="B23" s="7" t="str">
        <x:v>구로점이며 에어컨인 판매금액 평균</x:v>
      </x:c>
      <x:c r="C23" s="7"/>
      <x:c r="D23" s="7"/>
      <x:c r="E23" s="7"/>
      <x:c r="F23" s="8"/>
      <x:c r="G23" s="2"/>
      <x:c r="H23" s="15"/>
      <x:c r="I23" s="15"/>
      <x:c r="J23" s="15"/>
    </x:row>
    <x:row r="24" ht="28" customHeight="1">
      <x:c r="A24" s="2"/>
      <x:c r="B24" s="7" t="str">
        <x:v>판매수량 중앙값</x:v>
      </x:c>
      <x:c r="C24" s="7"/>
      <x:c r="D24" s="7"/>
      <x:c r="E24" s="7"/>
      <x:c r="F24" s="8"/>
      <x:c r="G24" s="2"/>
      <x:c r="H24" s="15"/>
      <x:c r="I24" s="15"/>
      <x:c r="J24" s="15"/>
    </x:row>
    <x:row r="25" ht="28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</x:row>
    <x:row r="26" ht="28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</x:row>
    <x:row r="27" ht="28" customHeight="1">
      <x:c r="A27" s="2"/>
      <x:c r="B27" s="15" t="str">
        <x:v>사진 015~017페이지 기반 실습. 대리점·제품·숫자는 사진의 계산 결과와 대조했습니다. 흐린 판매사원 이름 일부는 실습용으로 재구성했습니다. 노란 결과 칸에 수식을 입력하세요.</x:v>
      </x:c>
      <x:c r="C27" s="15"/>
      <x:c r="D27" s="15"/>
      <x:c r="E27" s="15"/>
      <x:c r="F27" s="15"/>
      <x:c r="G27" s="15"/>
      <x:c r="H27" s="15"/>
      <x:c r="I27" s="15"/>
      <x:c r="J27" s="15"/>
    </x:row>
    <x:row r="28" ht="28" customHeight="1">
      <x:c r="A28" s="2"/>
      <x:c r="B28" s="15"/>
      <x:c r="C28" s="15"/>
      <x:c r="D28" s="15"/>
      <x:c r="E28" s="15"/>
      <x:c r="F28" s="15"/>
      <x:c r="G28" s="15"/>
      <x:c r="H28" s="15"/>
      <x:c r="I28" s="15"/>
      <x:c r="J28" s="15"/>
    </x:row>
    <x:row r="29" ht="28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</x:row>
    <x:row r="30" ht="28" customHeight="1">
      <x:c r="A30" s="2"/>
      <x:c r="B30" s="15" t="str">
        <x:v>평균 F19는 표시 형식으로 소수 없이 보입니다. 실제 값은 5,153,554.666…입니다. 난수 I18은 재계산할 때 달라지므로 사진의 21과 같을 필요가 없습니다.</x:v>
      </x:c>
      <x:c r="C30" s="15"/>
      <x:c r="D30" s="15"/>
      <x:c r="E30" s="15"/>
      <x:c r="F30" s="15"/>
      <x:c r="G30" s="15"/>
      <x:c r="H30" s="15"/>
      <x:c r="I30" s="15"/>
      <x:c r="J30" s="15"/>
    </x:row>
    <x:row r="31" ht="28" customHeight="1">
      <x:c r="A31" s="2"/>
      <x:c r="B31" s="15"/>
      <x:c r="C31" s="15"/>
      <x:c r="D31" s="15"/>
      <x:c r="E31" s="15"/>
      <x:c r="F31" s="15"/>
      <x:c r="G31" s="15"/>
      <x:c r="H31" s="15"/>
      <x:c r="I31" s="15"/>
      <x:c r="J31" s="15"/>
    </x:row>
    <x:row r="32" ht="28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</x:row>
  </x:sheetData>
  <x:mergeCells>
    <x:mergeCell ref="B1:F1"/>
    <x:mergeCell ref="B18:E18"/>
    <x:mergeCell ref="B19:E19"/>
    <x:mergeCell ref="B20:E20"/>
    <x:mergeCell ref="B21:E21"/>
    <x:mergeCell ref="B22:E22"/>
    <x:mergeCell ref="B23:E23"/>
    <x:mergeCell ref="B24:E24"/>
    <x:mergeCell ref="H20:J24"/>
    <x:mergeCell ref="B27:J28"/>
    <x:mergeCell ref="B30:J3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13" hidden="0" customWidth="1"/>
    <x:col min="2" max="2" width="13" hidden="0" customWidth="1"/>
    <x:col min="3" max="3" width="17" hidden="0" customWidth="1"/>
    <x:col min="4" max="4" width="15" hidden="0" customWidth="1"/>
    <x:col min="5" max="5" width="18" hidden="0" customWidth="1"/>
    <x:col min="6" max="6" width="17" hidden="0" customWidth="1"/>
    <x:col min="7" max="7" width="13" hidden="0" customWidth="1"/>
    <x:col min="8" max="8" width="19" hidden="0" customWidth="1"/>
    <x:col min="9" max="9" width="19" hidden="0" customWidth="1"/>
    <x:col min="10" max="10" width="19" hidden="0" customWidth="1"/>
  </x:cols>
  <x:sheetData>
    <x:row r="1" ht="28" customHeight="1">
      <x:c r="A1" s="2"/>
      <x:c r="B1" s="3" t="str">
        <x:v>수학 삼각 함수 정답</x:v>
      </x:c>
      <x:c r="C1" s="2"/>
      <x:c r="D1" s="2"/>
      <x:c r="E1" s="2"/>
      <x:c r="F1" s="2"/>
      <x:c r="G1" s="2"/>
      <x:c r="H1" s="2"/>
      <x:c r="I1" s="2"/>
      <x:c r="J1" s="2"/>
    </x:row>
    <x:row r="2" ht="28" customHeight="1">
      <x:c r="A2" s="2"/>
      <x:c r="B2" s="5" t="str">
        <x:v>대리점명</x:v>
      </x:c>
      <x:c r="C2" s="5" t="str">
        <x:v>제품명</x:v>
      </x:c>
      <x:c r="D2" s="5" t="str">
        <x:v>판매사원</x:v>
      </x:c>
      <x:c r="E2" s="5" t="str">
        <x:v>판매금액</x:v>
      </x:c>
      <x:c r="F2" s="5" t="str">
        <x:v>판매수량</x:v>
      </x:c>
      <x:c r="G2" s="2"/>
      <x:c r="H2" s="4" t="str">
        <x:v>단가</x:v>
      </x:c>
      <x:c r="I2" s="4" t="str">
        <x:v>판매수량</x:v>
      </x:c>
      <x:c r="J2" s="2"/>
    </x:row>
    <x:row r="3" ht="28" customHeight="1">
      <x:c r="A3" s="2"/>
      <x:c r="B3" s="2" t="str">
        <x:v>서초점</x:v>
      </x:c>
      <x:c r="C3" s="2" t="str">
        <x:v>TV</x:v>
      </x:c>
      <x:c r="D3" s="2" t="str">
        <x:v>백예린</x:v>
      </x:c>
      <x:c r="E3" s="6" t="n">
        <x:v>1110000</x:v>
      </x:c>
      <x:c r="F3" s="6" t="n">
        <x:v>20</x:v>
      </x:c>
      <x:c r="G3" s="2"/>
      <x:c r="H3" s="6" t="n">
        <x:v>1200</x:v>
      </x:c>
      <x:c r="I3" s="6" t="n">
        <x:v>16</x:v>
      </x:c>
      <x:c r="J3" s="2"/>
    </x:row>
    <x:row r="4" ht="28" customHeight="1">
      <x:c r="A4" s="2"/>
      <x:c r="B4" s="2" t="str">
        <x:v>강남점</x:v>
      </x:c>
      <x:c r="C4" s="2" t="str">
        <x:v>세탁기</x:v>
      </x:c>
      <x:c r="D4" s="2" t="str">
        <x:v>이정인</x:v>
      </x:c>
      <x:c r="E4" s="6" t="n">
        <x:v>2215200</x:v>
      </x:c>
      <x:c r="F4" s="6" t="n">
        <x:v>60</x:v>
      </x:c>
      <x:c r="G4" s="2"/>
      <x:c r="H4" s="6" t="n">
        <x:v>1500</x:v>
      </x:c>
      <x:c r="I4" s="6" t="n">
        <x:v>15</x:v>
      </x:c>
      <x:c r="J4" s="2"/>
    </x:row>
    <x:row r="5" ht="28" customHeight="1">
      <x:c r="A5" s="2"/>
      <x:c r="B5" s="2" t="str">
        <x:v>대림점</x:v>
      </x:c>
      <x:c r="C5" s="2" t="str">
        <x:v>에어컨</x:v>
      </x:c>
      <x:c r="D5" s="2" t="str">
        <x:v>김동수</x:v>
      </x:c>
      <x:c r="E5" s="6" t="n">
        <x:v>4440000</x:v>
      </x:c>
      <x:c r="F5" s="6" t="n">
        <x:v>30</x:v>
      </x:c>
      <x:c r="G5" s="2"/>
      <x:c r="H5" s="6" t="n">
        <x:v>2000</x:v>
      </x:c>
      <x:c r="I5" s="6" t="n">
        <x:v>20</x:v>
      </x:c>
      <x:c r="J5" s="2"/>
    </x:row>
    <x:row r="6" ht="28" customHeight="1">
      <x:c r="A6" s="2"/>
      <x:c r="B6" s="2" t="str">
        <x:v>서초점</x:v>
      </x:c>
      <x:c r="C6" s="2" t="str">
        <x:v>TV</x:v>
      </x:c>
      <x:c r="D6" s="2" t="str">
        <x:v>김석훈</x:v>
      </x:c>
      <x:c r="E6" s="6" t="n">
        <x:v>3332500</x:v>
      </x:c>
      <x:c r="F6" s="6" t="n">
        <x:v>50</x:v>
      </x:c>
      <x:c r="G6" s="2"/>
      <x:c r="H6" s="6" t="str">
        <x:v>판매총액</x:v>
      </x:c>
      <x:c r="I6" s="16" t="n">
        <x:f>SUMPRODUCT(H3:H5,I3:I5)</x:f>
        <x:v>81700</x:v>
      </x:c>
      <x:c r="J6" s="2"/>
    </x:row>
    <x:row r="7" ht="28" customHeight="1">
      <x:c r="A7" s="2"/>
      <x:c r="B7" s="2" t="str">
        <x:v>역삼점</x:v>
      </x:c>
      <x:c r="C7" s="2" t="str">
        <x:v>에어컨</x:v>
      </x:c>
      <x:c r="D7" s="2" t="str">
        <x:v>이명유</x:v>
      </x:c>
      <x:c r="E7" s="6" t="n">
        <x:v>6845200</x:v>
      </x:c>
      <x:c r="F7" s="6" t="n">
        <x:v>40</x:v>
      </x:c>
      <x:c r="G7" s="2"/>
      <x:c r="H7" s="2"/>
      <x:c r="I7" s="2"/>
      <x:c r="J7" s="2"/>
    </x:row>
    <x:row r="8" ht="28" customHeight="1">
      <x:c r="A8" s="2"/>
      <x:c r="B8" s="2" t="str">
        <x:v>강남점</x:v>
      </x:c>
      <x:c r="C8" s="2" t="str">
        <x:v>세탁기</x:v>
      </x:c>
      <x:c r="D8" s="2" t="str">
        <x:v>박동수</x:v>
      </x:c>
      <x:c r="E8" s="6" t="n">
        <x:v>3330000</x:v>
      </x:c>
      <x:c r="F8" s="6" t="n">
        <x:v>33</x:v>
      </x:c>
      <x:c r="G8" s="2"/>
      <x:c r="H8" s="2"/>
      <x:c r="I8" s="2"/>
      <x:c r="J8" s="2"/>
    </x:row>
    <x:row r="9" ht="28" customHeight="1">
      <x:c r="A9" s="2"/>
      <x:c r="B9" s="2" t="str">
        <x:v>구로점</x:v>
      </x:c>
      <x:c r="C9" s="2" t="str">
        <x:v>TV</x:v>
      </x:c>
      <x:c r="D9" s="2" t="str">
        <x:v>이범수</x:v>
      </x:c>
      <x:c r="E9" s="6" t="n">
        <x:v>5123000</x:v>
      </x:c>
      <x:c r="F9" s="6" t="n">
        <x:v>50</x:v>
      </x:c>
      <x:c r="G9" s="2"/>
      <x:c r="H9" s="4" t="str">
        <x:v>원본 값</x:v>
      </x:c>
      <x:c r="I9" s="4" t="str">
        <x:v>사용 함수</x:v>
      </x:c>
      <x:c r="J9" s="4" t="str">
        <x:v>결과 입력</x:v>
      </x:c>
    </x:row>
    <x:row r="10" ht="28" customHeight="1">
      <x:c r="A10" s="2"/>
      <x:c r="B10" s="2" t="str">
        <x:v>구로점</x:v>
      </x:c>
      <x:c r="C10" s="2" t="str">
        <x:v>김치냉장고</x:v>
      </x:c>
      <x:c r="D10" s="2" t="str">
        <x:v>지명수</x:v>
      </x:c>
      <x:c r="E10" s="6" t="n">
        <x:v>3384500</x:v>
      </x:c>
      <x:c r="F10" s="6" t="n">
        <x:v>55</x:v>
      </x:c>
      <x:c r="G10" s="2"/>
      <x:c r="H10" s="9" t="n">
        <x:v>12345.123</x:v>
      </x:c>
      <x:c r="I10" s="2" t="str">
        <x:v>ROUND</x:v>
      </x:c>
      <x:c r="J10" s="17" t="n">
        <x:f>ROUND(H10,2)</x:f>
        <x:v>12345.12</x:v>
      </x:c>
    </x:row>
    <x:row r="11" ht="28" customHeight="1">
      <x:c r="A11" s="2"/>
      <x:c r="B11" s="2" t="str">
        <x:v>강남점</x:v>
      </x:c>
      <x:c r="C11" s="2" t="str">
        <x:v>김치냉장고</x:v>
      </x:c>
      <x:c r="D11" s="2" t="str">
        <x:v>배태지</x:v>
      </x:c>
      <x:c r="E11" s="6" t="n">
        <x:v>7451200</x:v>
      </x:c>
      <x:c r="F11" s="6" t="n">
        <x:v>30</x:v>
      </x:c>
      <x:c r="G11" s="2"/>
      <x:c r="H11" s="9" t="n">
        <x:v>12345.123</x:v>
      </x:c>
      <x:c r="I11" s="2" t="str">
        <x:v>ROUNDDOWN</x:v>
      </x:c>
      <x:c r="J11" s="16" t="n">
        <x:f>ROUNDDOWN(H11,0)</x:f>
        <x:v>12345</x:v>
      </x:c>
    </x:row>
    <x:row r="12" ht="28" customHeight="1">
      <x:c r="A12" s="2"/>
      <x:c r="B12" s="2" t="str">
        <x:v>역삼점</x:v>
      </x:c>
      <x:c r="C12" s="2" t="str">
        <x:v>세탁기</x:v>
      </x:c>
      <x:c r="D12" s="2" t="str">
        <x:v>이은수</x:v>
      </x:c>
      <x:c r="E12" s="6" t="n">
        <x:v>9542100</x:v>
      </x:c>
      <x:c r="F12" s="6" t="n">
        <x:v>60</x:v>
      </x:c>
      <x:c r="G12" s="2"/>
      <x:c r="H12" s="9" t="n">
        <x:v>12345.123</x:v>
      </x:c>
      <x:c r="I12" s="2" t="str">
        <x:v>ROUNDUP</x:v>
      </x:c>
      <x:c r="J12" s="16" t="n">
        <x:f>ROUNDUP(H12,-1)</x:f>
        <x:v>12350</x:v>
      </x:c>
    </x:row>
    <x:row r="13" ht="28" customHeight="1">
      <x:c r="A13" s="2"/>
      <x:c r="B13" s="2" t="str">
        <x:v>구로점</x:v>
      </x:c>
      <x:c r="C13" s="2" t="str">
        <x:v>에어컨</x:v>
      </x:c>
      <x:c r="D13" s="2" t="str">
        <x:v>이승원</x:v>
      </x:c>
      <x:c r="E13" s="6" t="n">
        <x:v>6345000</x:v>
      </x:c>
      <x:c r="F13" s="6" t="n">
        <x:v>15</x:v>
      </x:c>
      <x:c r="G13" s="2"/>
      <x:c r="H13" s="9" t="n">
        <x:v>12345.123</x:v>
      </x:c>
      <x:c r="I13" s="2" t="str">
        <x:v>TRUNC</x:v>
      </x:c>
      <x:c r="J13" s="16" t="n">
        <x:f>TRUNC(H13,-3)</x:f>
        <x:v>12000</x:v>
      </x:c>
    </x:row>
    <x:row r="14" ht="28" customHeight="1">
      <x:c r="A14" s="2"/>
      <x:c r="B14" s="2" t="str">
        <x:v>강남점</x:v>
      </x:c>
      <x:c r="C14" s="2" t="str">
        <x:v>TV</x:v>
      </x:c>
      <x:c r="D14" s="2" t="str">
        <x:v>이승민</x:v>
      </x:c>
      <x:c r="E14" s="6" t="n">
        <x:v>6521420</x:v>
      </x:c>
      <x:c r="F14" s="6" t="n">
        <x:v>33</x:v>
      </x:c>
      <x:c r="G14" s="2"/>
      <x:c r="H14" s="10" t="n">
        <x:v>5.5</x:v>
      </x:c>
      <x:c r="I14" s="2" t="str">
        <x:v>INT</x:v>
      </x:c>
      <x:c r="J14" s="16" t="n">
        <x:f>INT(H14)</x:f>
        <x:v>5</x:v>
      </x:c>
    </x:row>
    <x:row r="15" ht="28" customHeight="1">
      <x:c r="A15" s="2"/>
      <x:c r="B15" s="2" t="str">
        <x:v>마곡점</x:v>
      </x:c>
      <x:c r="C15" s="2" t="str">
        <x:v>김치냉장고</x:v>
      </x:c>
      <x:c r="D15" s="2" t="str">
        <x:v>홍인분</x:v>
      </x:c>
      <x:c r="E15" s="6" t="n">
        <x:v>2456000</x:v>
      </x:c>
      <x:c r="F15" s="6" t="n">
        <x:v>25</x:v>
      </x:c>
      <x:c r="G15" s="2"/>
      <x:c r="H15" s="10" t="n">
        <x:v>-5.5</x:v>
      </x:c>
      <x:c r="I15" s="2" t="str">
        <x:v>INT</x:v>
      </x:c>
      <x:c r="J15" s="16" t="n">
        <x:f>INT(H15)</x:f>
        <x:v>-6</x:v>
      </x:c>
    </x:row>
    <x:row r="16" ht="28" customHeight="1">
      <x:c r="A16" s="2"/>
      <x:c r="B16" s="2" t="str">
        <x:v>구로점</x:v>
      </x:c>
      <x:c r="C16" s="2" t="str">
        <x:v>에어컨</x:v>
      </x:c>
      <x:c r="D16" s="2" t="str">
        <x:v>한수진</x:v>
      </x:c>
      <x:c r="E16" s="6" t="n">
        <x:v>8754200</x:v>
      </x:c>
      <x:c r="F16" s="6" t="n">
        <x:v>20</x:v>
      </x:c>
      <x:c r="G16" s="2"/>
      <x:c r="H16" s="2"/>
      <x:c r="I16" s="2"/>
      <x:c r="J16" s="2"/>
    </x:row>
    <x:row r="17" ht="28" customHeight="1">
      <x:c r="A17" s="2"/>
      <x:c r="B17" s="2" t="str">
        <x:v>이대점</x:v>
      </x:c>
      <x:c r="C17" s="2" t="str">
        <x:v>세탁기</x:v>
      </x:c>
      <x:c r="D17" s="2" t="str">
        <x:v>이영희</x:v>
      </x:c>
      <x:c r="E17" s="6" t="n">
        <x:v>6453000</x:v>
      </x:c>
      <x:c r="F17" s="6" t="n">
        <x:v>50</x:v>
      </x:c>
      <x:c r="G17" s="2"/>
      <x:c r="H17" s="2"/>
      <x:c r="I17" s="2"/>
      <x:c r="J17" s="2"/>
    </x:row>
    <x:row r="18" ht="28" customHeight="1">
      <x:c r="A18" s="2"/>
      <x:c r="B18" s="7" t="str">
        <x:v>판매수량 합계</x:v>
      </x:c>
      <x:c r="C18" s="7"/>
      <x:c r="D18" s="7"/>
      <x:c r="E18" s="7"/>
      <x:c r="F18" s="16" t="n">
        <x:f>SUM(F3:F17)</x:f>
        <x:v>571</x:v>
      </x:c>
      <x:c r="G18" s="2"/>
      <x:c r="H18" s="2" t="str">
        <x:v>RANDBETWEEN</x:v>
      </x:c>
      <x:c r="I18" s="19" t="n">
        <x:f>RANDBETWEEN(20,30)</x:f>
        <x:v>22</x:v>
      </x:c>
      <x:c r="J18" s="2"/>
    </x:row>
    <x:row r="19" ht="28" customHeight="1">
      <x:c r="A19" s="2"/>
      <x:c r="B19" s="7" t="str">
        <x:v>판매금액 평균</x:v>
      </x:c>
      <x:c r="C19" s="7"/>
      <x:c r="D19" s="7"/>
      <x:c r="E19" s="7"/>
      <x:c r="F19" s="16" t="n">
        <x:f>AVERAGE(E3:E17)</x:f>
        <x:v>5153554.666666667</x:v>
      </x:c>
      <x:c r="G19" s="2"/>
      <x:c r="H19" s="2"/>
      <x:c r="I19" s="2"/>
      <x:c r="J19" s="2"/>
    </x:row>
    <x:row r="20" ht="28" customHeight="1">
      <x:c r="A20" s="2"/>
      <x:c r="B20" s="7" t="str">
        <x:v>서초점 판매금액 합계</x:v>
      </x:c>
      <x:c r="C20" s="7"/>
      <x:c r="D20" s="7"/>
      <x:c r="E20" s="7"/>
      <x:c r="F20" s="16" t="n">
        <x:f>SUMIF(B3:B17,"서초점",E3:E17)</x:f>
        <x:v>4442500</x:v>
      </x:c>
      <x:c r="G20" s="2"/>
      <x:c r="H20" s="15" t="str">
        <x:v>J10：소수 둘째 자리까지
J11：정수 자리까지
J12：십의 자리까지
J13：백의 자리에서 자름
I18：20~30 사이 정수</x:v>
      </x:c>
      <x:c r="I20" s="15"/>
      <x:c r="J20" s="15"/>
    </x:row>
    <x:row r="21" ht="28" customHeight="1">
      <x:c r="A21" s="2"/>
      <x:c r="B21" s="7" t="str">
        <x:v>강남점 판매수량 평균</x:v>
      </x:c>
      <x:c r="C21" s="7"/>
      <x:c r="D21" s="7"/>
      <x:c r="E21" s="7"/>
      <x:c r="F21" s="16" t="n">
        <x:f>AVERAGEIF(B3:B17,"강남점",F3:F17)</x:f>
        <x:v>39</x:v>
      </x:c>
      <x:c r="G21" s="2"/>
      <x:c r="H21" s="15"/>
      <x:c r="I21" s="15"/>
      <x:c r="J21" s="15"/>
    </x:row>
    <x:row r="22" ht="28" customHeight="1">
      <x:c r="A22" s="2"/>
      <x:c r="B22" s="7" t="str">
        <x:v>서초점이며 TV인 판매수량 합계</x:v>
      </x:c>
      <x:c r="C22" s="7"/>
      <x:c r="D22" s="7"/>
      <x:c r="E22" s="7"/>
      <x:c r="F22" s="16" t="n">
        <x:f>SUMIFS(F3:F17,B3:B17,B3,C3:C17,C3)</x:f>
        <x:v>70</x:v>
      </x:c>
      <x:c r="G22" s="2"/>
      <x:c r="H22" s="15"/>
      <x:c r="I22" s="15"/>
      <x:c r="J22" s="15"/>
    </x:row>
    <x:row r="23" ht="28" customHeight="1">
      <x:c r="A23" s="2"/>
      <x:c r="B23" s="7" t="str">
        <x:v>구로점이며 에어컨인 판매금액 평균</x:v>
      </x:c>
      <x:c r="C23" s="7"/>
      <x:c r="D23" s="7"/>
      <x:c r="E23" s="7"/>
      <x:c r="F23" s="16" t="n">
        <x:f>AVERAGEIFS(E3:E17,B3:B17,B9,C3:C17,C7)</x:f>
        <x:v>7549600</x:v>
      </x:c>
      <x:c r="G23" s="2"/>
      <x:c r="H23" s="15"/>
      <x:c r="I23" s="15"/>
      <x:c r="J23" s="15"/>
    </x:row>
    <x:row r="24" ht="28" customHeight="1">
      <x:c r="A24" s="2"/>
      <x:c r="B24" s="7" t="str">
        <x:v>판매수량 중앙값</x:v>
      </x:c>
      <x:c r="C24" s="7"/>
      <x:c r="D24" s="7"/>
      <x:c r="E24" s="7"/>
      <x:c r="F24" s="16" t="n">
        <x:f>MEDIAN(F3:F17)</x:f>
        <x:v>33</x:v>
      </x:c>
      <x:c r="G24" s="2"/>
      <x:c r="H24" s="15"/>
      <x:c r="I24" s="15"/>
      <x:c r="J24" s="15"/>
    </x:row>
    <x:row r="25" ht="28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</x:row>
    <x:row r="26" ht="28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</x:row>
    <x:row r="27" ht="28" customHeight="1">
      <x:c r="A27" s="2"/>
      <x:c r="B27" s="15" t="str">
        <x:v>사진 015~017페이지 기반 실습. 대리점·제품·숫자는 사진의 계산 결과와 대조했습니다. 흐린 판매사원 이름 일부는 실습용으로 재구성했습니다. 노란 결과 칸에 수식을 입력하세요.</x:v>
      </x:c>
      <x:c r="C27" s="15"/>
      <x:c r="D27" s="15"/>
      <x:c r="E27" s="15"/>
      <x:c r="F27" s="15"/>
      <x:c r="G27" s="15"/>
      <x:c r="H27" s="15"/>
      <x:c r="I27" s="15"/>
      <x:c r="J27" s="15"/>
    </x:row>
    <x:row r="28" ht="28" customHeight="1">
      <x:c r="A28" s="2"/>
      <x:c r="B28" s="15"/>
      <x:c r="C28" s="15"/>
      <x:c r="D28" s="15"/>
      <x:c r="E28" s="15"/>
      <x:c r="F28" s="15"/>
      <x:c r="G28" s="15"/>
      <x:c r="H28" s="15"/>
      <x:c r="I28" s="15"/>
      <x:c r="J28" s="15"/>
    </x:row>
    <x:row r="29" ht="28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</x:row>
    <x:row r="30" ht="28" customHeight="1">
      <x:c r="A30" s="2"/>
      <x:c r="B30" s="15" t="str">
        <x:v>평균 F19는 표시 형식으로 소수 없이 보입니다. 실제 값은 5,153,554.666…입니다. 난수 I18은 재계산할 때 달라지므로 사진의 21과 같을 필요가 없습니다.</x:v>
      </x:c>
      <x:c r="C30" s="15"/>
      <x:c r="D30" s="15"/>
      <x:c r="E30" s="15"/>
      <x:c r="F30" s="15"/>
      <x:c r="G30" s="15"/>
      <x:c r="H30" s="15"/>
      <x:c r="I30" s="15"/>
      <x:c r="J30" s="15"/>
    </x:row>
    <x:row r="31" ht="28" customHeight="1">
      <x:c r="A31" s="2"/>
      <x:c r="B31" s="15"/>
      <x:c r="C31" s="15"/>
      <x:c r="D31" s="15"/>
      <x:c r="E31" s="15"/>
      <x:c r="F31" s="15"/>
      <x:c r="G31" s="15"/>
      <x:c r="H31" s="15"/>
      <x:c r="I31" s="15"/>
      <x:c r="J31" s="15"/>
    </x:row>
    <x:row r="32" ht="28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</x:row>
  </x:sheetData>
  <x:mergeCells>
    <x:mergeCell ref="B1:F1"/>
    <x:mergeCell ref="B18:E18"/>
    <x:mergeCell ref="B19:E19"/>
    <x:mergeCell ref="B20:E20"/>
    <x:mergeCell ref="B21:E21"/>
    <x:mergeCell ref="B22:E22"/>
    <x:mergeCell ref="B23:E23"/>
    <x:mergeCell ref="B24:E24"/>
    <x:mergeCell ref="H20:J24"/>
    <x:mergeCell ref="B27:J28"/>
    <x:mergeCell ref="B30:J3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13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40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28" customHeight="1">
      <x:c r="A1" s="2"/>
      <x:c r="B1" s="3" t="str">
        <x:v>자릿수와 음수 추가 연습</x:v>
      </x:c>
      <x:c r="C1" s="2"/>
      <x:c r="D1" s="2"/>
      <x:c r="E1" s="2"/>
      <x:c r="F1" s="2"/>
      <x:c r="G1" s="2"/>
      <x:c r="H1" s="2"/>
      <x:c r="I1" s="2"/>
      <x:c r="J1" s="2"/>
    </x:row>
    <x:row r="2" ht="28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</x:row>
    <x:row r="3" ht="28" customHeight="1">
      <x:c r="A3" s="2"/>
      <x:c r="B3" s="5" t="str">
        <x:v>함수</x:v>
      </x:c>
      <x:c r="C3" s="5" t="str">
        <x:v>원본 값</x:v>
      </x:c>
      <x:c r="D3" s="5" t="str">
        <x:v>자릿수</x:v>
      </x:c>
      <x:c r="E3" s="5" t="str">
        <x:v>결과 입력</x:v>
      </x:c>
      <x:c r="F3" s="5" t="str">
        <x:v>문제</x:v>
      </x:c>
      <x:c r="G3" s="2"/>
      <x:c r="H3" s="2"/>
      <x:c r="I3" s="2"/>
      <x:c r="J3" s="2"/>
    </x:row>
    <x:row r="4" ht="28" customHeight="1">
      <x:c r="A4" s="2"/>
      <x:c r="B4" s="2" t="str">
        <x:v>ROUND</x:v>
      </x:c>
      <x:c r="C4" s="20" t="n">
        <x:v>9876.543</x:v>
      </x:c>
      <x:c r="D4" s="2" t="n">
        <x:v>1</x:v>
      </x:c>
      <x:c r="E4" s="22"/>
      <x:c r="F4" s="2" t="str">
        <x:v>소수 첫째 자리까지 반올림</x:v>
      </x:c>
      <x:c r="G4" s="2"/>
      <x:c r="H4" s="2"/>
      <x:c r="I4" s="2"/>
      <x:c r="J4" s="2"/>
    </x:row>
    <x:row r="5" ht="28" customHeight="1">
      <x:c r="A5" s="2"/>
      <x:c r="B5" s="2" t="str">
        <x:v>ROUND</x:v>
      </x:c>
      <x:c r="C5" s="20" t="n">
        <x:v>9876.543</x:v>
      </x:c>
      <x:c r="D5" s="2" t="n">
        <x:v>-2</x:v>
      </x:c>
      <x:c r="E5" s="14"/>
      <x:c r="F5" s="2" t="str">
        <x:v>백의 자리까지 반올림</x:v>
      </x:c>
      <x:c r="G5" s="2"/>
      <x:c r="H5" s="2"/>
      <x:c r="I5" s="2"/>
      <x:c r="J5" s="2"/>
    </x:row>
    <x:row r="6" ht="28" customHeight="1">
      <x:c r="A6" s="2"/>
      <x:c r="B6" s="2" t="str">
        <x:v>ROUNDUP</x:v>
      </x:c>
      <x:c r="C6" s="10" t="n">
        <x:v>-5.5</x:v>
      </x:c>
      <x:c r="D6" s="2" t="n">
        <x:v>0</x:v>
      </x:c>
      <x:c r="E6" s="14"/>
      <x:c r="F6" s="2" t="str">
        <x:v>음수를 정수 자리까지 올림</x:v>
      </x:c>
      <x:c r="G6" s="2"/>
      <x:c r="H6" s="2"/>
      <x:c r="I6" s="2"/>
      <x:c r="J6" s="2"/>
    </x:row>
    <x:row r="7" ht="28" customHeight="1">
      <x:c r="A7" s="2"/>
      <x:c r="B7" s="2" t="str">
        <x:v>ROUNDDOWN</x:v>
      </x:c>
      <x:c r="C7" s="10" t="n">
        <x:v>-5.5</x:v>
      </x:c>
      <x:c r="D7" s="2" t="n">
        <x:v>0</x:v>
      </x:c>
      <x:c r="E7" s="14"/>
      <x:c r="F7" s="2" t="str">
        <x:v>음수를 정수 자리까지 내림</x:v>
      </x:c>
      <x:c r="G7" s="2"/>
      <x:c r="H7" s="2"/>
      <x:c r="I7" s="2"/>
      <x:c r="J7" s="2"/>
    </x:row>
    <x:row r="8" ht="28" customHeight="1">
      <x:c r="A8" s="2"/>
      <x:c r="B8" s="2" t="str">
        <x:v>TRUNC</x:v>
      </x:c>
      <x:c r="C8" s="10" t="n">
        <x:v>-5.5</x:v>
      </x:c>
      <x:c r="D8" s="2" t="n">
        <x:v>0</x:v>
      </x:c>
      <x:c r="E8" s="14"/>
      <x:c r="F8" s="2" t="str">
        <x:v>음수의 소수 부분 자름</x:v>
      </x:c>
      <x:c r="G8" s="2"/>
      <x:c r="H8" s="2"/>
      <x:c r="I8" s="2"/>
      <x:c r="J8" s="2"/>
    </x:row>
    <x:row r="9" ht="28" customHeight="1">
      <x:c r="A9" s="2"/>
      <x:c r="B9" s="2" t="str">
        <x:v>INT</x:v>
      </x:c>
      <x:c r="C9" s="10" t="n">
        <x:v>-5.5</x:v>
      </x:c>
      <x:c r="D9" s="2"/>
      <x:c r="E9" s="14"/>
      <x:c r="F9" s="2" t="str">
        <x:v>원본보다 크지 않은 정수</x:v>
      </x:c>
      <x:c r="G9" s="2"/>
      <x:c r="H9" s="2"/>
      <x:c r="I9" s="2"/>
      <x:c r="J9" s="2"/>
    </x:row>
    <x:row r="10" ht="28" customHeight="1">
      <x:c r="A10" s="2"/>
      <x:c r="B10" s="2" t="str">
        <x:v>ROUNDUP</x:v>
      </x:c>
      <x:c r="C10" s="21" t="n">
        <x:v>12340</x:v>
      </x:c>
      <x:c r="D10" s="2" t="n">
        <x:v>-1</x:v>
      </x:c>
      <x:c r="E10" s="14"/>
      <x:c r="F10" s="2" t="str">
        <x:v>이미 십의 자리인 값 올림</x:v>
      </x:c>
      <x:c r="G10" s="2"/>
      <x:c r="H10" s="2"/>
      <x:c r="I10" s="2"/>
      <x:c r="J10" s="2"/>
    </x:row>
    <x:row r="11" ht="28" customHeight="1">
      <x:c r="A11" s="2"/>
      <x:c r="B11" s="2" t="str">
        <x:v>TRUNC</x:v>
      </x:c>
      <x:c r="C11" s="20" t="n">
        <x:v>12345.123</x:v>
      </x:c>
      <x:c r="D11" s="2" t="n">
        <x:v>-2</x:v>
      </x:c>
      <x:c r="E11" s="14"/>
      <x:c r="F11" s="2" t="str">
        <x:v>십의 자리에서 자름</x:v>
      </x:c>
      <x:c r="G11" s="2"/>
      <x:c r="H11" s="2"/>
      <x:c r="I11" s="2"/>
      <x:c r="J11" s="2"/>
    </x:row>
    <x:row r="12" ht="28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</x:row>
    <x:row r="13" ht="28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</x:row>
    <x:row r="14" ht="28" customHeight="1">
      <x:c r="A14" s="2"/>
      <x:c r="B14" s="15" t="str">
        <x:v>노란 칸에 수식을 입력하세요. INT는 자릿수를 받지 않습니다. 추가정답에서 수식 입력줄을 확인하고 C열 값을 바꾸어 다시 계산해 보세요.</x:v>
      </x:c>
      <x:c r="C14" s="15"/>
      <x:c r="D14" s="15"/>
      <x:c r="E14" s="15"/>
      <x:c r="F14" s="15"/>
      <x:c r="G14" s="2"/>
      <x:c r="H14" s="2"/>
      <x:c r="I14" s="2"/>
      <x:c r="J14" s="2"/>
    </x:row>
    <x:row r="15" ht="28" customHeight="1">
      <x:c r="A15" s="2"/>
      <x:c r="B15" s="15"/>
      <x:c r="C15" s="15"/>
      <x:c r="D15" s="15"/>
      <x:c r="E15" s="15"/>
      <x:c r="F15" s="15"/>
      <x:c r="G15" s="2"/>
      <x:c r="H15" s="2"/>
      <x:c r="I15" s="2"/>
      <x:c r="J15" s="2"/>
    </x:row>
    <x:row r="16" ht="28" customHeight="1">
      <x:c r="A16" s="2"/>
      <x:c r="B16" s="15"/>
      <x:c r="C16" s="15"/>
      <x:c r="D16" s="15"/>
      <x:c r="E16" s="15"/>
      <x:c r="F16" s="15"/>
      <x:c r="G16" s="2"/>
      <x:c r="H16" s="2"/>
      <x:c r="I16" s="2"/>
      <x:c r="J16" s="2"/>
    </x:row>
    <x:row r="17" ht="28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</x:row>
    <x:row r="18" ht="28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</x:row>
    <x:row r="19" ht="28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</x:row>
    <x:row r="20" ht="28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</x:row>
    <x:row r="21" ht="28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</x:row>
    <x:row r="22" ht="28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</x:row>
    <x:row r="23" ht="28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</x:row>
    <x:row r="24" ht="28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</x:row>
    <x:row r="25" ht="28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</x:row>
    <x:row r="26" ht="28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</x:row>
    <x:row r="27" ht="28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</x:row>
    <x:row r="28" ht="28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</x:row>
    <x:row r="29" ht="28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</x:row>
    <x:row r="30" ht="28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</x:row>
    <x:row r="31" ht="28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</x:row>
    <x:row r="32" ht="28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</x:row>
  </x:sheetData>
  <x:mergeCells>
    <x:mergeCell ref="B1:F1"/>
    <x:mergeCell ref="B14:F16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13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40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28" customHeight="1">
      <x:c r="A1" s="2"/>
      <x:c r="B1" s="3" t="str">
        <x:v>자릿수와 음수 추가 연습</x:v>
      </x:c>
      <x:c r="C1" s="2"/>
      <x:c r="D1" s="2"/>
      <x:c r="E1" s="2"/>
      <x:c r="F1" s="2"/>
      <x:c r="G1" s="2"/>
      <x:c r="H1" s="2"/>
      <x:c r="I1" s="2"/>
      <x:c r="J1" s="2"/>
    </x:row>
    <x:row r="2" ht="28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</x:row>
    <x:row r="3" ht="28" customHeight="1">
      <x:c r="A3" s="2"/>
      <x:c r="B3" s="5" t="str">
        <x:v>함수</x:v>
      </x:c>
      <x:c r="C3" s="5" t="str">
        <x:v>원본 값</x:v>
      </x:c>
      <x:c r="D3" s="5" t="str">
        <x:v>자릿수</x:v>
      </x:c>
      <x:c r="E3" s="5" t="str">
        <x:v>결과 입력</x:v>
      </x:c>
      <x:c r="F3" s="5" t="str">
        <x:v>문제</x:v>
      </x:c>
      <x:c r="G3" s="2"/>
      <x:c r="H3" s="2"/>
      <x:c r="I3" s="2"/>
      <x:c r="J3" s="2"/>
    </x:row>
    <x:row r="4" ht="28" customHeight="1">
      <x:c r="A4" s="2"/>
      <x:c r="B4" s="2" t="str">
        <x:v>ROUND</x:v>
      </x:c>
      <x:c r="C4" s="20" t="n">
        <x:v>9876.543</x:v>
      </x:c>
      <x:c r="D4" s="2" t="n">
        <x:v>1</x:v>
      </x:c>
      <x:c r="E4" s="23" t="n">
        <x:f>ROUND(C4,D4)</x:f>
        <x:v>9876.5</x:v>
      </x:c>
      <x:c r="F4" s="2" t="str">
        <x:v>소수 첫째 자리까지 반올림</x:v>
      </x:c>
      <x:c r="G4" s="2"/>
      <x:c r="H4" s="2"/>
      <x:c r="I4" s="2"/>
      <x:c r="J4" s="2"/>
    </x:row>
    <x:row r="5" ht="28" customHeight="1">
      <x:c r="A5" s="2"/>
      <x:c r="B5" s="2" t="str">
        <x:v>ROUND</x:v>
      </x:c>
      <x:c r="C5" s="20" t="n">
        <x:v>9876.543</x:v>
      </x:c>
      <x:c r="D5" s="2" t="n">
        <x:v>-2</x:v>
      </x:c>
      <x:c r="E5" s="19" t="n">
        <x:f>ROUND(C5,D5)</x:f>
        <x:v>9900</x:v>
      </x:c>
      <x:c r="F5" s="2" t="str">
        <x:v>백의 자리까지 반올림</x:v>
      </x:c>
      <x:c r="G5" s="2"/>
      <x:c r="H5" s="2"/>
      <x:c r="I5" s="2"/>
      <x:c r="J5" s="2"/>
    </x:row>
    <x:row r="6" ht="28" customHeight="1">
      <x:c r="A6" s="2"/>
      <x:c r="B6" s="2" t="str">
        <x:v>ROUNDUP</x:v>
      </x:c>
      <x:c r="C6" s="10" t="n">
        <x:v>-5.5</x:v>
      </x:c>
      <x:c r="D6" s="2" t="n">
        <x:v>0</x:v>
      </x:c>
      <x:c r="E6" s="19" t="n">
        <x:f>ROUNDUP(C6,D6)</x:f>
        <x:v>-6</x:v>
      </x:c>
      <x:c r="F6" s="2" t="str">
        <x:v>음수를 정수 자리까지 올림</x:v>
      </x:c>
      <x:c r="G6" s="2"/>
      <x:c r="H6" s="2"/>
      <x:c r="I6" s="2"/>
      <x:c r="J6" s="2"/>
    </x:row>
    <x:row r="7" ht="28" customHeight="1">
      <x:c r="A7" s="2"/>
      <x:c r="B7" s="2" t="str">
        <x:v>ROUNDDOWN</x:v>
      </x:c>
      <x:c r="C7" s="10" t="n">
        <x:v>-5.5</x:v>
      </x:c>
      <x:c r="D7" s="2" t="n">
        <x:v>0</x:v>
      </x:c>
      <x:c r="E7" s="19" t="n">
        <x:f>ROUNDDOWN(C7,D7)</x:f>
        <x:v>-5</x:v>
      </x:c>
      <x:c r="F7" s="2" t="str">
        <x:v>음수를 정수 자리까지 내림</x:v>
      </x:c>
      <x:c r="G7" s="2"/>
      <x:c r="H7" s="2"/>
      <x:c r="I7" s="2"/>
      <x:c r="J7" s="2"/>
    </x:row>
    <x:row r="8" ht="28" customHeight="1">
      <x:c r="A8" s="2"/>
      <x:c r="B8" s="2" t="str">
        <x:v>TRUNC</x:v>
      </x:c>
      <x:c r="C8" s="10" t="n">
        <x:v>-5.5</x:v>
      </x:c>
      <x:c r="D8" s="2" t="n">
        <x:v>0</x:v>
      </x:c>
      <x:c r="E8" s="19" t="n">
        <x:f>TRUNC(C8,D8)</x:f>
        <x:v>-5</x:v>
      </x:c>
      <x:c r="F8" s="2" t="str">
        <x:v>음수의 소수 부분 자름</x:v>
      </x:c>
      <x:c r="G8" s="2"/>
      <x:c r="H8" s="2"/>
      <x:c r="I8" s="2"/>
      <x:c r="J8" s="2"/>
    </x:row>
    <x:row r="9" ht="28" customHeight="1">
      <x:c r="A9" s="2"/>
      <x:c r="B9" s="2" t="str">
        <x:v>INT</x:v>
      </x:c>
      <x:c r="C9" s="10" t="n">
        <x:v>-5.5</x:v>
      </x:c>
      <x:c r="D9" s="2"/>
      <x:c r="E9" s="19" t="n">
        <x:f>INT(C9)</x:f>
        <x:v>-6</x:v>
      </x:c>
      <x:c r="F9" s="2" t="str">
        <x:v>원본보다 크지 않은 정수</x:v>
      </x:c>
      <x:c r="G9" s="2"/>
      <x:c r="H9" s="2"/>
      <x:c r="I9" s="2"/>
      <x:c r="J9" s="2"/>
    </x:row>
    <x:row r="10" ht="28" customHeight="1">
      <x:c r="A10" s="2"/>
      <x:c r="B10" s="2" t="str">
        <x:v>ROUNDUP</x:v>
      </x:c>
      <x:c r="C10" s="21" t="n">
        <x:v>12340</x:v>
      </x:c>
      <x:c r="D10" s="2" t="n">
        <x:v>-1</x:v>
      </x:c>
      <x:c r="E10" s="19" t="n">
        <x:f>ROUNDUP(C10,D10)</x:f>
        <x:v>12340</x:v>
      </x:c>
      <x:c r="F10" s="2" t="str">
        <x:v>이미 십의 자리인 값 올림</x:v>
      </x:c>
      <x:c r="G10" s="2"/>
      <x:c r="H10" s="2"/>
      <x:c r="I10" s="2"/>
      <x:c r="J10" s="2"/>
    </x:row>
    <x:row r="11" ht="28" customHeight="1">
      <x:c r="A11" s="2"/>
      <x:c r="B11" s="2" t="str">
        <x:v>TRUNC</x:v>
      </x:c>
      <x:c r="C11" s="20" t="n">
        <x:v>12345.123</x:v>
      </x:c>
      <x:c r="D11" s="2" t="n">
        <x:v>-2</x:v>
      </x:c>
      <x:c r="E11" s="19" t="n">
        <x:f>TRUNC(C11,D11)</x:f>
        <x:v>12300</x:v>
      </x:c>
      <x:c r="F11" s="2" t="str">
        <x:v>십의 자리에서 자름</x:v>
      </x:c>
      <x:c r="G11" s="2"/>
      <x:c r="H11" s="2"/>
      <x:c r="I11" s="2"/>
      <x:c r="J11" s="2"/>
    </x:row>
    <x:row r="12" ht="28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</x:row>
    <x:row r="13" ht="28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</x:row>
    <x:row r="14" ht="28" customHeight="1">
      <x:c r="A14" s="2"/>
      <x:c r="B14" s="15" t="str">
        <x:v>노란 칸에 수식을 입력하세요. INT는 자릿수를 받지 않습니다. 추가정답에서 수식 입력줄을 확인하고 C열 값을 바꾸어 다시 계산해 보세요.</x:v>
      </x:c>
      <x:c r="C14" s="15"/>
      <x:c r="D14" s="15"/>
      <x:c r="E14" s="15"/>
      <x:c r="F14" s="15"/>
      <x:c r="G14" s="2"/>
      <x:c r="H14" s="2"/>
      <x:c r="I14" s="2"/>
      <x:c r="J14" s="2"/>
    </x:row>
    <x:row r="15" ht="28" customHeight="1">
      <x:c r="A15" s="2"/>
      <x:c r="B15" s="15"/>
      <x:c r="C15" s="15"/>
      <x:c r="D15" s="15"/>
      <x:c r="E15" s="15"/>
      <x:c r="F15" s="15"/>
      <x:c r="G15" s="2"/>
      <x:c r="H15" s="2"/>
      <x:c r="I15" s="2"/>
      <x:c r="J15" s="2"/>
    </x:row>
    <x:row r="16" ht="28" customHeight="1">
      <x:c r="A16" s="2"/>
      <x:c r="B16" s="15"/>
      <x:c r="C16" s="15"/>
      <x:c r="D16" s="15"/>
      <x:c r="E16" s="15"/>
      <x:c r="F16" s="15"/>
      <x:c r="G16" s="2"/>
      <x:c r="H16" s="2"/>
      <x:c r="I16" s="2"/>
      <x:c r="J16" s="2"/>
    </x:row>
    <x:row r="17" ht="28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</x:row>
    <x:row r="18" ht="28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</x:row>
    <x:row r="19" ht="28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</x:row>
    <x:row r="20" ht="28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</x:row>
    <x:row r="21" ht="28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</x:row>
    <x:row r="22" ht="28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</x:row>
    <x:row r="23" ht="28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</x:row>
    <x:row r="24" ht="28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</x:row>
    <x:row r="25" ht="28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</x:row>
    <x:row r="26" ht="28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</x:row>
    <x:row r="27" ht="28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</x:row>
    <x:row r="28" ht="28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</x:row>
    <x:row r="29" ht="28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</x:row>
    <x:row r="30" ht="28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</x:row>
    <x:row r="31" ht="28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</x:row>
    <x:row r="32" ht="28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</x:row>
  </x:sheetData>
  <x:mergeCells>
    <x:mergeCell ref="B1:F1"/>
    <x:mergeCell ref="B14:F16"/>
  </x:mergeCells>
  <x:pageMargins left="0.7" right="0.7" top="0.75" bottom="0.75" header="0.3" footer="0.3"/>
</x:worksheet>
</file>