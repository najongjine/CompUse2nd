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mpUse2nd\교재\엑셀교재v2\"/>
    </mc:Choice>
  </mc:AlternateContent>
  <xr:revisionPtr revIDLastSave="0" documentId="13_ncr:1_{CC4EE7F2-33B7-42D3-A1F2-394FF6CA557A}" xr6:coauthVersionLast="47" xr6:coauthVersionMax="47" xr10:uidLastSave="{00000000-0000-0000-0000-000000000000}"/>
  <bookViews>
    <workbookView xWindow="-24435" yWindow="810" windowWidth="22200" windowHeight="14790" activeTab="1" xr2:uid="{00000000-000D-0000-FFFF-FFFF00000000}"/>
  </bookViews>
  <sheets>
    <sheet name="실습" sheetId="1" r:id="rId1"/>
    <sheet name="정답" sheetId="2" r:id="rId2"/>
    <sheet name="추가실습" sheetId="3" r:id="rId3"/>
    <sheet name="추가정답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E10" i="4"/>
  <c r="E9" i="4"/>
  <c r="E8" i="4"/>
  <c r="E7" i="4"/>
  <c r="E6" i="4"/>
  <c r="E5" i="4"/>
  <c r="E4" i="4"/>
  <c r="F24" i="2"/>
  <c r="F23" i="2"/>
  <c r="F22" i="2"/>
  <c r="F21" i="2"/>
  <c r="F20" i="2"/>
  <c r="F19" i="2"/>
  <c r="I18" i="2"/>
  <c r="F18" i="2"/>
  <c r="J15" i="2"/>
  <c r="J14" i="2"/>
  <c r="J13" i="2"/>
  <c r="J12" i="2"/>
  <c r="J11" i="2"/>
  <c r="J10" i="2"/>
  <c r="I6" i="2"/>
</calcChain>
</file>

<file path=xl/sharedStrings.xml><?xml version="1.0" encoding="utf-8"?>
<sst xmlns="http://schemas.openxmlformats.org/spreadsheetml/2006/main" count="190" uniqueCount="65">
  <si>
    <t>수학 삼각 함수 실습</t>
  </si>
  <si>
    <t>대리점명</t>
  </si>
  <si>
    <t>제품명</t>
  </si>
  <si>
    <t>판매사원</t>
  </si>
  <si>
    <t>판매금액</t>
  </si>
  <si>
    <t>판매수량</t>
  </si>
  <si>
    <t>단가</t>
  </si>
  <si>
    <t>서초점</t>
  </si>
  <si>
    <t>TV</t>
  </si>
  <si>
    <t>백예린</t>
  </si>
  <si>
    <t>강남점</t>
  </si>
  <si>
    <t>세탁기</t>
  </si>
  <si>
    <t>이정인</t>
  </si>
  <si>
    <t>대림점</t>
  </si>
  <si>
    <t>에어컨</t>
  </si>
  <si>
    <t>김동수</t>
  </si>
  <si>
    <t>김석훈</t>
  </si>
  <si>
    <t>판매총액</t>
  </si>
  <si>
    <t>역삼점</t>
  </si>
  <si>
    <t>이명유</t>
  </si>
  <si>
    <t>박동수</t>
  </si>
  <si>
    <t>구로점</t>
  </si>
  <si>
    <t>이범수</t>
  </si>
  <si>
    <t>원본 값</t>
  </si>
  <si>
    <t>사용 함수</t>
  </si>
  <si>
    <t>결과 입력</t>
  </si>
  <si>
    <t>김치냉장고</t>
  </si>
  <si>
    <t>지명수</t>
  </si>
  <si>
    <t>ROUND</t>
  </si>
  <si>
    <t>배태지</t>
  </si>
  <si>
    <t>ROUNDDOWN</t>
  </si>
  <si>
    <t>이은수</t>
  </si>
  <si>
    <t>ROUNDUP</t>
  </si>
  <si>
    <t>이승원</t>
  </si>
  <si>
    <t>TRUNC</t>
  </si>
  <si>
    <t>이승민</t>
  </si>
  <si>
    <t>INT</t>
  </si>
  <si>
    <t>마곡점</t>
  </si>
  <si>
    <t>홍인분</t>
  </si>
  <si>
    <t>한수진</t>
  </si>
  <si>
    <t>이대점</t>
  </si>
  <si>
    <t>이영희</t>
  </si>
  <si>
    <t>판매수량 합계</t>
  </si>
  <si>
    <t>RANDBETWEEN</t>
  </si>
  <si>
    <t>판매금액 평균</t>
  </si>
  <si>
    <t>서초점 판매금액 합계</t>
  </si>
  <si>
    <t>J10：소수 둘째 자리까지
J11：정수 자리까지
J12：십의 자리까지
J13：백의 자리에서 자름
I18：20~30 사이 정수</t>
  </si>
  <si>
    <t>강남점 판매수량 평균</t>
  </si>
  <si>
    <t>서초점이며 TV인 판매수량 합계</t>
  </si>
  <si>
    <t>구로점이며 에어컨인 판매금액 평균</t>
  </si>
  <si>
    <t>판매수량 중앙값</t>
  </si>
  <si>
    <t>수학 삼각 함수 정답</t>
  </si>
  <si>
    <t>자릿수와 음수 추가 연습</t>
  </si>
  <si>
    <t>함수</t>
  </si>
  <si>
    <t>자릿수</t>
  </si>
  <si>
    <t>문제</t>
  </si>
  <si>
    <t>소수 첫째 자리까지 반올림</t>
  </si>
  <si>
    <t>백의 자리까지 반올림</t>
  </si>
  <si>
    <t>음수를 정수 자리까지 올림</t>
  </si>
  <si>
    <t>음수를 정수 자리까지 내림</t>
  </si>
  <si>
    <t>음수의 소수 부분 자름</t>
  </si>
  <si>
    <t>원본보다 크지 않은 정수</t>
  </si>
  <si>
    <t>이미 십의 자리인 값 올림</t>
  </si>
  <si>
    <t>십의 자리에서 자름</t>
  </si>
  <si>
    <t>노란 칸에 수식을 입력하세요. INT는 자릿수를 받지 않습니다. 추가정답에서 수식 입력줄을 확인하고 C열 값을 바꾸어 다시 계산해 보세요.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</si>
</sst>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"/>
    <numFmt numFmtId="177" formatCode="0.0"/>
    <numFmt numFmtId="178" formatCode="0.000"/>
  </numFmts>
  <fonts count="6">
    <font>
      <sz val="11"/>
      <name val="Carlito"/>
    </font>
    <font>
      <sz val="11"/>
      <name val="Malgun Gothic"/>
      <family val="3"/>
      <charset val="129"/>
    </font>
    <font>
      <b/>
      <sz val="16"/>
      <name val="Malgun Gothic"/>
      <family val="3"/>
      <charset val="129"/>
    </font>
    <font>
      <b/>
      <sz val="11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1F5F9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1" fillId="0" borderId="0" xfId="1" applyFont="1" applyAlignment="1">
      <alignment vertical="center"/>
    </xf>
    <xf numFmtId="0" fontId="1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3" fontId="1" fillId="0" borderId="0" xfId="1" applyNumberFormat="1" applyFont="1" applyAlignment="1">
      <alignment vertical="center"/>
    </xf>
    <xf numFmtId="3" fontId="1" fillId="4" borderId="0" xfId="1" applyNumberFormat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4" fontId="1" fillId="4" borderId="0" xfId="1" applyNumberFormat="1" applyFont="1" applyFill="1" applyAlignment="1">
      <alignment vertical="center"/>
    </xf>
    <xf numFmtId="1" fontId="1" fillId="4" borderId="0" xfId="1" applyNumberFormat="1" applyFont="1" applyFill="1" applyAlignment="1">
      <alignment vertical="center"/>
    </xf>
    <xf numFmtId="3" fontId="1" fillId="5" borderId="0" xfId="1" applyNumberFormat="1" applyFont="1" applyFill="1" applyAlignment="1">
      <alignment vertical="center"/>
    </xf>
    <xf numFmtId="4" fontId="1" fillId="5" borderId="0" xfId="1" applyNumberFormat="1" applyFont="1" applyFill="1" applyAlignment="1">
      <alignment vertical="center"/>
    </xf>
    <xf numFmtId="1" fontId="1" fillId="5" borderId="0" xfId="1" applyNumberFormat="1" applyFont="1" applyFill="1" applyAlignment="1">
      <alignment vertical="center"/>
    </xf>
    <xf numFmtId="178" fontId="1" fillId="0" borderId="0" xfId="1" applyNumberFormat="1" applyFont="1" applyAlignment="1">
      <alignment vertical="center"/>
    </xf>
    <xf numFmtId="1" fontId="1" fillId="0" borderId="0" xfId="1" applyNumberFormat="1" applyFont="1" applyAlignment="1">
      <alignment vertical="center"/>
    </xf>
    <xf numFmtId="177" fontId="1" fillId="4" borderId="0" xfId="1" applyNumberFormat="1" applyFont="1" applyFill="1" applyAlignment="1">
      <alignment vertical="center"/>
    </xf>
    <xf numFmtId="177" fontId="1" fillId="5" borderId="0" xfId="1" applyNumberFormat="1" applyFont="1" applyFill="1" applyAlignment="1">
      <alignment vertical="center"/>
    </xf>
    <xf numFmtId="0" fontId="2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1" fillId="3" borderId="0" xfId="1" applyFont="1" applyFill="1" applyAlignment="1">
      <alignment vertical="center"/>
    </xf>
    <xf numFmtId="0" fontId="1" fillId="0" borderId="0" xfId="1" applyFont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opLeftCell="A17" workbookViewId="0">
      <selection activeCell="B30" sqref="B30:J31"/>
    </sheetView>
  </sheetViews>
  <sheetFormatPr defaultRowHeight="14.25"/>
  <cols>
    <col min="1" max="2" width="13" customWidth="1"/>
    <col min="3" max="3" width="17" customWidth="1"/>
    <col min="4" max="4" width="15" customWidth="1"/>
    <col min="5" max="5" width="18" customWidth="1"/>
    <col min="6" max="6" width="17" customWidth="1"/>
    <col min="7" max="7" width="13" customWidth="1"/>
    <col min="8" max="10" width="19" customWidth="1"/>
  </cols>
  <sheetData>
    <row r="1" spans="1:10" ht="27.95" customHeight="1">
      <c r="A1" s="1"/>
      <c r="B1" s="17" t="s">
        <v>0</v>
      </c>
      <c r="C1" s="18"/>
      <c r="D1" s="18"/>
      <c r="E1" s="18"/>
      <c r="F1" s="18"/>
      <c r="G1" s="1"/>
      <c r="H1" s="1"/>
      <c r="I1" s="1"/>
      <c r="J1" s="1"/>
    </row>
    <row r="2" spans="1:10" ht="27.95" customHeight="1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1"/>
      <c r="H2" s="2" t="s">
        <v>6</v>
      </c>
      <c r="I2" s="2" t="s">
        <v>5</v>
      </c>
      <c r="J2" s="1"/>
    </row>
    <row r="3" spans="1:10" ht="27.95" customHeight="1">
      <c r="A3" s="1"/>
      <c r="B3" s="1" t="s">
        <v>7</v>
      </c>
      <c r="C3" s="1" t="s">
        <v>8</v>
      </c>
      <c r="D3" s="1" t="s">
        <v>9</v>
      </c>
      <c r="E3" s="4">
        <v>1110000</v>
      </c>
      <c r="F3" s="4">
        <v>20</v>
      </c>
      <c r="G3" s="1"/>
      <c r="H3" s="4">
        <v>1200</v>
      </c>
      <c r="I3" s="4">
        <v>16</v>
      </c>
      <c r="J3" s="1"/>
    </row>
    <row r="4" spans="1:10" ht="27.95" customHeight="1">
      <c r="A4" s="1"/>
      <c r="B4" s="1" t="s">
        <v>10</v>
      </c>
      <c r="C4" s="1" t="s">
        <v>11</v>
      </c>
      <c r="D4" s="1" t="s">
        <v>12</v>
      </c>
      <c r="E4" s="4">
        <v>2215200</v>
      </c>
      <c r="F4" s="4">
        <v>60</v>
      </c>
      <c r="G4" s="1"/>
      <c r="H4" s="4">
        <v>1500</v>
      </c>
      <c r="I4" s="4">
        <v>15</v>
      </c>
      <c r="J4" s="1"/>
    </row>
    <row r="5" spans="1:10" ht="27.95" customHeight="1">
      <c r="A5" s="1"/>
      <c r="B5" s="1" t="s">
        <v>13</v>
      </c>
      <c r="C5" s="1" t="s">
        <v>14</v>
      </c>
      <c r="D5" s="1" t="s">
        <v>15</v>
      </c>
      <c r="E5" s="4">
        <v>4440000</v>
      </c>
      <c r="F5" s="4">
        <v>30</v>
      </c>
      <c r="G5" s="1"/>
      <c r="H5" s="4">
        <v>2000</v>
      </c>
      <c r="I5" s="4">
        <v>20</v>
      </c>
      <c r="J5" s="1"/>
    </row>
    <row r="6" spans="1:10" ht="27.95" customHeight="1">
      <c r="A6" s="1"/>
      <c r="B6" s="1" t="s">
        <v>7</v>
      </c>
      <c r="C6" s="1" t="s">
        <v>8</v>
      </c>
      <c r="D6" s="1" t="s">
        <v>16</v>
      </c>
      <c r="E6" s="4">
        <v>3332500</v>
      </c>
      <c r="F6" s="4">
        <v>50</v>
      </c>
      <c r="G6" s="1"/>
      <c r="H6" s="4" t="s">
        <v>17</v>
      </c>
      <c r="I6" s="5"/>
      <c r="J6" s="1"/>
    </row>
    <row r="7" spans="1:10" ht="27.95" customHeight="1">
      <c r="A7" s="1"/>
      <c r="B7" s="1" t="s">
        <v>18</v>
      </c>
      <c r="C7" s="1" t="s">
        <v>14</v>
      </c>
      <c r="D7" s="1" t="s">
        <v>19</v>
      </c>
      <c r="E7" s="4">
        <v>6845200</v>
      </c>
      <c r="F7" s="4">
        <v>40</v>
      </c>
      <c r="G7" s="1"/>
      <c r="H7" s="1"/>
      <c r="I7" s="1"/>
      <c r="J7" s="1"/>
    </row>
    <row r="8" spans="1:10" ht="27.95" customHeight="1">
      <c r="A8" s="1"/>
      <c r="B8" s="1" t="s">
        <v>10</v>
      </c>
      <c r="C8" s="1" t="s">
        <v>11</v>
      </c>
      <c r="D8" s="1" t="s">
        <v>20</v>
      </c>
      <c r="E8" s="4">
        <v>3330000</v>
      </c>
      <c r="F8" s="4">
        <v>33</v>
      </c>
      <c r="G8" s="1"/>
      <c r="H8" s="1"/>
      <c r="I8" s="1"/>
      <c r="J8" s="1"/>
    </row>
    <row r="9" spans="1:10" ht="27.95" customHeight="1">
      <c r="A9" s="1"/>
      <c r="B9" s="1" t="s">
        <v>21</v>
      </c>
      <c r="C9" s="1" t="s">
        <v>8</v>
      </c>
      <c r="D9" s="1" t="s">
        <v>22</v>
      </c>
      <c r="E9" s="4">
        <v>5123000</v>
      </c>
      <c r="F9" s="4">
        <v>50</v>
      </c>
      <c r="G9" s="1"/>
      <c r="H9" s="2" t="s">
        <v>23</v>
      </c>
      <c r="I9" s="2" t="s">
        <v>24</v>
      </c>
      <c r="J9" s="2" t="s">
        <v>25</v>
      </c>
    </row>
    <row r="10" spans="1:10" ht="27.95" customHeight="1">
      <c r="A10" s="1"/>
      <c r="B10" s="1" t="s">
        <v>21</v>
      </c>
      <c r="C10" s="1" t="s">
        <v>26</v>
      </c>
      <c r="D10" s="1" t="s">
        <v>27</v>
      </c>
      <c r="E10" s="4">
        <v>3384500</v>
      </c>
      <c r="F10" s="4">
        <v>55</v>
      </c>
      <c r="G10" s="1"/>
      <c r="H10" s="6">
        <v>12345.123</v>
      </c>
      <c r="I10" s="1" t="s">
        <v>28</v>
      </c>
      <c r="J10" s="8"/>
    </row>
    <row r="11" spans="1:10" ht="27.95" customHeight="1">
      <c r="A11" s="1"/>
      <c r="B11" s="1" t="s">
        <v>10</v>
      </c>
      <c r="C11" s="1" t="s">
        <v>26</v>
      </c>
      <c r="D11" s="1" t="s">
        <v>29</v>
      </c>
      <c r="E11" s="4">
        <v>7451200</v>
      </c>
      <c r="F11" s="4">
        <v>30</v>
      </c>
      <c r="G11" s="1"/>
      <c r="H11" s="6">
        <v>12345.123</v>
      </c>
      <c r="I11" s="1" t="s">
        <v>30</v>
      </c>
      <c r="J11" s="5"/>
    </row>
    <row r="12" spans="1:10" ht="27.95" customHeight="1">
      <c r="A12" s="1"/>
      <c r="B12" s="1" t="s">
        <v>18</v>
      </c>
      <c r="C12" s="1" t="s">
        <v>11</v>
      </c>
      <c r="D12" s="1" t="s">
        <v>31</v>
      </c>
      <c r="E12" s="4">
        <v>9542100</v>
      </c>
      <c r="F12" s="4">
        <v>60</v>
      </c>
      <c r="G12" s="1"/>
      <c r="H12" s="6">
        <v>12345.123</v>
      </c>
      <c r="I12" s="1" t="s">
        <v>32</v>
      </c>
      <c r="J12" s="5"/>
    </row>
    <row r="13" spans="1:10" ht="27.95" customHeight="1">
      <c r="A13" s="1"/>
      <c r="B13" s="1" t="s">
        <v>21</v>
      </c>
      <c r="C13" s="1" t="s">
        <v>14</v>
      </c>
      <c r="D13" s="1" t="s">
        <v>33</v>
      </c>
      <c r="E13" s="4">
        <v>6345000</v>
      </c>
      <c r="F13" s="4">
        <v>15</v>
      </c>
      <c r="G13" s="1"/>
      <c r="H13" s="6">
        <v>12345.123</v>
      </c>
      <c r="I13" s="1" t="s">
        <v>34</v>
      </c>
      <c r="J13" s="5"/>
    </row>
    <row r="14" spans="1:10" ht="27.95" customHeight="1">
      <c r="A14" s="1"/>
      <c r="B14" s="1" t="s">
        <v>10</v>
      </c>
      <c r="C14" s="1" t="s">
        <v>8</v>
      </c>
      <c r="D14" s="1" t="s">
        <v>35</v>
      </c>
      <c r="E14" s="4">
        <v>6521420</v>
      </c>
      <c r="F14" s="4">
        <v>33</v>
      </c>
      <c r="G14" s="1"/>
      <c r="H14" s="7">
        <v>5.5</v>
      </c>
      <c r="I14" s="1" t="s">
        <v>36</v>
      </c>
      <c r="J14" s="5"/>
    </row>
    <row r="15" spans="1:10" ht="27.95" customHeight="1">
      <c r="A15" s="1"/>
      <c r="B15" s="1" t="s">
        <v>37</v>
      </c>
      <c r="C15" s="1" t="s">
        <v>26</v>
      </c>
      <c r="D15" s="1" t="s">
        <v>38</v>
      </c>
      <c r="E15" s="4">
        <v>2456000</v>
      </c>
      <c r="F15" s="4">
        <v>25</v>
      </c>
      <c r="G15" s="1"/>
      <c r="H15" s="7">
        <v>-5.5</v>
      </c>
      <c r="I15" s="1" t="s">
        <v>36</v>
      </c>
      <c r="J15" s="5"/>
    </row>
    <row r="16" spans="1:10" ht="27.95" customHeight="1">
      <c r="A16" s="1"/>
      <c r="B16" s="1" t="s">
        <v>21</v>
      </c>
      <c r="C16" s="1" t="s">
        <v>14</v>
      </c>
      <c r="D16" s="1" t="s">
        <v>39</v>
      </c>
      <c r="E16" s="4">
        <v>8754200</v>
      </c>
      <c r="F16" s="4">
        <v>20</v>
      </c>
      <c r="G16" s="1"/>
      <c r="H16" s="1"/>
      <c r="I16" s="1"/>
      <c r="J16" s="1"/>
    </row>
    <row r="17" spans="1:10" ht="27.95" customHeight="1">
      <c r="A17" s="1"/>
      <c r="B17" s="1" t="s">
        <v>40</v>
      </c>
      <c r="C17" s="1" t="s">
        <v>11</v>
      </c>
      <c r="D17" s="1" t="s">
        <v>41</v>
      </c>
      <c r="E17" s="4">
        <v>6453000</v>
      </c>
      <c r="F17" s="4">
        <v>50</v>
      </c>
      <c r="G17" s="1"/>
      <c r="H17" s="1"/>
      <c r="I17" s="1"/>
      <c r="J17" s="1"/>
    </row>
    <row r="18" spans="1:10" ht="27.95" customHeight="1">
      <c r="A18" s="1"/>
      <c r="B18" s="19" t="s">
        <v>42</v>
      </c>
      <c r="C18" s="19"/>
      <c r="D18" s="19"/>
      <c r="E18" s="19"/>
      <c r="F18" s="5"/>
      <c r="G18" s="1"/>
      <c r="H18" s="1" t="s">
        <v>43</v>
      </c>
      <c r="I18" s="9"/>
      <c r="J18" s="1"/>
    </row>
    <row r="19" spans="1:10" ht="27.95" customHeight="1">
      <c r="A19" s="1"/>
      <c r="B19" s="19" t="s">
        <v>44</v>
      </c>
      <c r="C19" s="19"/>
      <c r="D19" s="19"/>
      <c r="E19" s="19"/>
      <c r="F19" s="5"/>
      <c r="G19" s="1"/>
      <c r="H19" s="1"/>
      <c r="I19" s="1"/>
      <c r="J19" s="1"/>
    </row>
    <row r="20" spans="1:10" ht="27.95" customHeight="1">
      <c r="A20" s="1"/>
      <c r="B20" s="19" t="s">
        <v>45</v>
      </c>
      <c r="C20" s="19"/>
      <c r="D20" s="19"/>
      <c r="E20" s="19"/>
      <c r="F20" s="5"/>
      <c r="G20" s="1"/>
      <c r="H20" s="20" t="s">
        <v>46</v>
      </c>
      <c r="I20" s="20"/>
      <c r="J20" s="20"/>
    </row>
    <row r="21" spans="1:10" ht="27.95" customHeight="1">
      <c r="A21" s="1"/>
      <c r="B21" s="19" t="s">
        <v>47</v>
      </c>
      <c r="C21" s="19"/>
      <c r="D21" s="19"/>
      <c r="E21" s="19"/>
      <c r="F21" s="5"/>
      <c r="G21" s="1"/>
      <c r="H21" s="20"/>
      <c r="I21" s="20"/>
      <c r="J21" s="20"/>
    </row>
    <row r="22" spans="1:10" ht="27.95" customHeight="1">
      <c r="A22" s="1"/>
      <c r="B22" s="19" t="s">
        <v>48</v>
      </c>
      <c r="C22" s="19"/>
      <c r="D22" s="19"/>
      <c r="E22" s="19"/>
      <c r="F22" s="5"/>
      <c r="G22" s="1"/>
      <c r="H22" s="20"/>
      <c r="I22" s="20"/>
      <c r="J22" s="20"/>
    </row>
    <row r="23" spans="1:10" ht="27.95" customHeight="1">
      <c r="A23" s="1"/>
      <c r="B23" s="19" t="s">
        <v>49</v>
      </c>
      <c r="C23" s="19"/>
      <c r="D23" s="19"/>
      <c r="E23" s="19"/>
      <c r="F23" s="5"/>
      <c r="G23" s="1"/>
      <c r="H23" s="20"/>
      <c r="I23" s="20"/>
      <c r="J23" s="20"/>
    </row>
    <row r="24" spans="1:10" ht="27.95" customHeight="1">
      <c r="A24" s="1"/>
      <c r="B24" s="19" t="s">
        <v>50</v>
      </c>
      <c r="C24" s="19"/>
      <c r="D24" s="19"/>
      <c r="E24" s="19"/>
      <c r="F24" s="5"/>
      <c r="G24" s="1"/>
      <c r="H24" s="20"/>
      <c r="I24" s="20"/>
      <c r="J24" s="20"/>
    </row>
    <row r="25" spans="1:10" ht="27.9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7.9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7.95" customHeight="1">
      <c r="A27" s="1"/>
      <c r="B27" s="20"/>
      <c r="C27" s="20"/>
      <c r="D27" s="20"/>
      <c r="E27" s="20"/>
      <c r="F27" s="20"/>
      <c r="G27" s="20"/>
      <c r="H27" s="20"/>
      <c r="I27" s="20"/>
      <c r="J27" s="20"/>
    </row>
    <row r="28" spans="1:10" ht="27.95" customHeight="1">
      <c r="A28" s="1"/>
      <c r="B28" s="20"/>
      <c r="C28" s="20"/>
      <c r="D28" s="20"/>
      <c r="E28" s="20"/>
      <c r="F28" s="20"/>
      <c r="G28" s="20"/>
      <c r="H28" s="20"/>
      <c r="I28" s="20"/>
      <c r="J28" s="20"/>
    </row>
    <row r="29" spans="1:10" ht="27.9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7.95" customHeight="1">
      <c r="A30" s="1"/>
      <c r="B30" s="20"/>
      <c r="C30" s="20"/>
      <c r="D30" s="20"/>
      <c r="E30" s="20"/>
      <c r="F30" s="20"/>
      <c r="G30" s="20"/>
      <c r="H30" s="20"/>
      <c r="I30" s="20"/>
      <c r="J30" s="20"/>
    </row>
    <row r="31" spans="1:10" ht="27.95" customHeight="1">
      <c r="A31" s="1"/>
      <c r="B31" s="20"/>
      <c r="C31" s="20"/>
      <c r="D31" s="20"/>
      <c r="E31" s="20"/>
      <c r="F31" s="20"/>
      <c r="G31" s="20"/>
      <c r="H31" s="20"/>
      <c r="I31" s="20"/>
      <c r="J31" s="20"/>
    </row>
    <row r="32" spans="1:10" ht="27.9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11">
    <mergeCell ref="B30:J31"/>
    <mergeCell ref="B22:E22"/>
    <mergeCell ref="B23:E23"/>
    <mergeCell ref="B24:E24"/>
    <mergeCell ref="H20:J24"/>
    <mergeCell ref="B27:J28"/>
    <mergeCell ref="B1:F1"/>
    <mergeCell ref="B18:E18"/>
    <mergeCell ref="B19:E19"/>
    <mergeCell ref="B20:E20"/>
    <mergeCell ref="B21:E2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tabSelected="1" topLeftCell="A19" workbookViewId="0">
      <selection activeCell="B30" sqref="B30:J31"/>
    </sheetView>
  </sheetViews>
  <sheetFormatPr defaultRowHeight="14.25"/>
  <cols>
    <col min="1" max="2" width="13" customWidth="1"/>
    <col min="3" max="3" width="17" customWidth="1"/>
    <col min="4" max="4" width="15" customWidth="1"/>
    <col min="5" max="5" width="18" customWidth="1"/>
    <col min="6" max="6" width="17" customWidth="1"/>
    <col min="7" max="7" width="13" customWidth="1"/>
    <col min="8" max="10" width="19" customWidth="1"/>
  </cols>
  <sheetData>
    <row r="1" spans="1:10" ht="27.95" customHeight="1">
      <c r="A1" s="1"/>
      <c r="B1" s="17" t="s">
        <v>51</v>
      </c>
      <c r="C1" s="18"/>
      <c r="D1" s="18"/>
      <c r="E1" s="18"/>
      <c r="F1" s="18"/>
      <c r="G1" s="1"/>
      <c r="H1" s="1"/>
      <c r="I1" s="1"/>
      <c r="J1" s="1"/>
    </row>
    <row r="2" spans="1:10" ht="27.95" customHeight="1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1"/>
      <c r="H2" s="2" t="s">
        <v>6</v>
      </c>
      <c r="I2" s="2" t="s">
        <v>5</v>
      </c>
      <c r="J2" s="1"/>
    </row>
    <row r="3" spans="1:10" ht="27.95" customHeight="1">
      <c r="A3" s="1"/>
      <c r="B3" s="1" t="s">
        <v>7</v>
      </c>
      <c r="C3" s="1" t="s">
        <v>8</v>
      </c>
      <c r="D3" s="1" t="s">
        <v>9</v>
      </c>
      <c r="E3" s="4">
        <v>1110000</v>
      </c>
      <c r="F3" s="4">
        <v>20</v>
      </c>
      <c r="G3" s="1"/>
      <c r="H3" s="4">
        <v>1200</v>
      </c>
      <c r="I3" s="4">
        <v>16</v>
      </c>
      <c r="J3" s="1"/>
    </row>
    <row r="4" spans="1:10" ht="27.95" customHeight="1">
      <c r="A4" s="1"/>
      <c r="B4" s="1" t="s">
        <v>10</v>
      </c>
      <c r="C4" s="1" t="s">
        <v>11</v>
      </c>
      <c r="D4" s="1" t="s">
        <v>12</v>
      </c>
      <c r="E4" s="4">
        <v>2215200</v>
      </c>
      <c r="F4" s="4">
        <v>60</v>
      </c>
      <c r="G4" s="1"/>
      <c r="H4" s="4">
        <v>1500</v>
      </c>
      <c r="I4" s="4">
        <v>15</v>
      </c>
      <c r="J4" s="1"/>
    </row>
    <row r="5" spans="1:10" ht="27.95" customHeight="1">
      <c r="A5" s="1"/>
      <c r="B5" s="1" t="s">
        <v>13</v>
      </c>
      <c r="C5" s="1" t="s">
        <v>14</v>
      </c>
      <c r="D5" s="1" t="s">
        <v>15</v>
      </c>
      <c r="E5" s="4">
        <v>4440000</v>
      </c>
      <c r="F5" s="4">
        <v>30</v>
      </c>
      <c r="G5" s="1"/>
      <c r="H5" s="4">
        <v>2000</v>
      </c>
      <c r="I5" s="4">
        <v>20</v>
      </c>
      <c r="J5" s="1"/>
    </row>
    <row r="6" spans="1:10" ht="27.95" customHeight="1">
      <c r="A6" s="1"/>
      <c r="B6" s="1" t="s">
        <v>7</v>
      </c>
      <c r="C6" s="1" t="s">
        <v>8</v>
      </c>
      <c r="D6" s="1" t="s">
        <v>16</v>
      </c>
      <c r="E6" s="4">
        <v>3332500</v>
      </c>
      <c r="F6" s="4">
        <v>50</v>
      </c>
      <c r="G6" s="1"/>
      <c r="H6" s="4" t="s">
        <v>17</v>
      </c>
      <c r="I6" s="10">
        <f>SUMPRODUCT(H3:H5,I3:I5)</f>
        <v>81700</v>
      </c>
      <c r="J6" s="1"/>
    </row>
    <row r="7" spans="1:10" ht="27.95" customHeight="1">
      <c r="A7" s="1"/>
      <c r="B7" s="1" t="s">
        <v>18</v>
      </c>
      <c r="C7" s="1" t="s">
        <v>14</v>
      </c>
      <c r="D7" s="1" t="s">
        <v>19</v>
      </c>
      <c r="E7" s="4">
        <v>6845200</v>
      </c>
      <c r="F7" s="4">
        <v>40</v>
      </c>
      <c r="G7" s="1"/>
      <c r="H7" s="1"/>
      <c r="I7" s="1"/>
      <c r="J7" s="1"/>
    </row>
    <row r="8" spans="1:10" ht="27.95" customHeight="1">
      <c r="A8" s="1"/>
      <c r="B8" s="1" t="s">
        <v>10</v>
      </c>
      <c r="C8" s="1" t="s">
        <v>11</v>
      </c>
      <c r="D8" s="1" t="s">
        <v>20</v>
      </c>
      <c r="E8" s="4">
        <v>3330000</v>
      </c>
      <c r="F8" s="4">
        <v>33</v>
      </c>
      <c r="G8" s="1"/>
      <c r="H8" s="1"/>
      <c r="I8" s="1"/>
      <c r="J8" s="1"/>
    </row>
    <row r="9" spans="1:10" ht="27.95" customHeight="1">
      <c r="A9" s="1"/>
      <c r="B9" s="1" t="s">
        <v>21</v>
      </c>
      <c r="C9" s="1" t="s">
        <v>8</v>
      </c>
      <c r="D9" s="1" t="s">
        <v>22</v>
      </c>
      <c r="E9" s="4">
        <v>5123000</v>
      </c>
      <c r="F9" s="4">
        <v>50</v>
      </c>
      <c r="G9" s="1"/>
      <c r="H9" s="2" t="s">
        <v>23</v>
      </c>
      <c r="I9" s="2" t="s">
        <v>24</v>
      </c>
      <c r="J9" s="2" t="s">
        <v>25</v>
      </c>
    </row>
    <row r="10" spans="1:10" ht="27.95" customHeight="1">
      <c r="A10" s="1"/>
      <c r="B10" s="1" t="s">
        <v>21</v>
      </c>
      <c r="C10" s="1" t="s">
        <v>26</v>
      </c>
      <c r="D10" s="1" t="s">
        <v>27</v>
      </c>
      <c r="E10" s="4">
        <v>3384500</v>
      </c>
      <c r="F10" s="4">
        <v>55</v>
      </c>
      <c r="G10" s="1"/>
      <c r="H10" s="6">
        <v>12345.123</v>
      </c>
      <c r="I10" s="1" t="s">
        <v>28</v>
      </c>
      <c r="J10" s="11">
        <f>ROUND(H10,2)</f>
        <v>12345.12</v>
      </c>
    </row>
    <row r="11" spans="1:10" ht="27.95" customHeight="1">
      <c r="A11" s="1"/>
      <c r="B11" s="1" t="s">
        <v>10</v>
      </c>
      <c r="C11" s="1" t="s">
        <v>26</v>
      </c>
      <c r="D11" s="1" t="s">
        <v>29</v>
      </c>
      <c r="E11" s="4">
        <v>7451200</v>
      </c>
      <c r="F11" s="4">
        <v>30</v>
      </c>
      <c r="G11" s="1"/>
      <c r="H11" s="6">
        <v>12345.123</v>
      </c>
      <c r="I11" s="1" t="s">
        <v>30</v>
      </c>
      <c r="J11" s="10">
        <f>ROUNDDOWN(H11,0)</f>
        <v>12345</v>
      </c>
    </row>
    <row r="12" spans="1:10" ht="27.95" customHeight="1">
      <c r="A12" s="1"/>
      <c r="B12" s="1" t="s">
        <v>18</v>
      </c>
      <c r="C12" s="1" t="s">
        <v>11</v>
      </c>
      <c r="D12" s="1" t="s">
        <v>31</v>
      </c>
      <c r="E12" s="4">
        <v>9542100</v>
      </c>
      <c r="F12" s="4">
        <v>60</v>
      </c>
      <c r="G12" s="1"/>
      <c r="H12" s="6">
        <v>12345.123</v>
      </c>
      <c r="I12" s="1" t="s">
        <v>32</v>
      </c>
      <c r="J12" s="10">
        <f>ROUNDUP(H12,-1)</f>
        <v>12350</v>
      </c>
    </row>
    <row r="13" spans="1:10" ht="27.95" customHeight="1">
      <c r="A13" s="1"/>
      <c r="B13" s="1" t="s">
        <v>21</v>
      </c>
      <c r="C13" s="1" t="s">
        <v>14</v>
      </c>
      <c r="D13" s="1" t="s">
        <v>33</v>
      </c>
      <c r="E13" s="4">
        <v>6345000</v>
      </c>
      <c r="F13" s="4">
        <v>15</v>
      </c>
      <c r="G13" s="1"/>
      <c r="H13" s="6">
        <v>12345.123</v>
      </c>
      <c r="I13" s="1" t="s">
        <v>34</v>
      </c>
      <c r="J13" s="10">
        <f>TRUNC(H13,-3)</f>
        <v>12000</v>
      </c>
    </row>
    <row r="14" spans="1:10" ht="27.95" customHeight="1">
      <c r="A14" s="1"/>
      <c r="B14" s="1" t="s">
        <v>10</v>
      </c>
      <c r="C14" s="1" t="s">
        <v>8</v>
      </c>
      <c r="D14" s="1" t="s">
        <v>35</v>
      </c>
      <c r="E14" s="4">
        <v>6521420</v>
      </c>
      <c r="F14" s="4">
        <v>33</v>
      </c>
      <c r="G14" s="1"/>
      <c r="H14" s="7">
        <v>5.5</v>
      </c>
      <c r="I14" s="1" t="s">
        <v>36</v>
      </c>
      <c r="J14" s="10">
        <f>INT(H14)</f>
        <v>5</v>
      </c>
    </row>
    <row r="15" spans="1:10" ht="27.95" customHeight="1">
      <c r="A15" s="1"/>
      <c r="B15" s="1" t="s">
        <v>37</v>
      </c>
      <c r="C15" s="1" t="s">
        <v>26</v>
      </c>
      <c r="D15" s="1" t="s">
        <v>38</v>
      </c>
      <c r="E15" s="4">
        <v>2456000</v>
      </c>
      <c r="F15" s="4">
        <v>25</v>
      </c>
      <c r="G15" s="1"/>
      <c r="H15" s="7">
        <v>-5.5</v>
      </c>
      <c r="I15" s="1" t="s">
        <v>36</v>
      </c>
      <c r="J15" s="10">
        <f>INT(H15)</f>
        <v>-6</v>
      </c>
    </row>
    <row r="16" spans="1:10" ht="27.95" customHeight="1">
      <c r="A16" s="1"/>
      <c r="B16" s="1" t="s">
        <v>21</v>
      </c>
      <c r="C16" s="1" t="s">
        <v>14</v>
      </c>
      <c r="D16" s="1" t="s">
        <v>39</v>
      </c>
      <c r="E16" s="4">
        <v>8754200</v>
      </c>
      <c r="F16" s="4">
        <v>20</v>
      </c>
      <c r="G16" s="1"/>
      <c r="H16" s="1"/>
      <c r="I16" s="1"/>
      <c r="J16" s="1"/>
    </row>
    <row r="17" spans="1:10" ht="27.95" customHeight="1">
      <c r="A17" s="1"/>
      <c r="B17" s="1" t="s">
        <v>40</v>
      </c>
      <c r="C17" s="1" t="s">
        <v>11</v>
      </c>
      <c r="D17" s="1" t="s">
        <v>41</v>
      </c>
      <c r="E17" s="4">
        <v>6453000</v>
      </c>
      <c r="F17" s="4">
        <v>50</v>
      </c>
      <c r="G17" s="1"/>
      <c r="H17" s="1"/>
      <c r="I17" s="1"/>
      <c r="J17" s="1"/>
    </row>
    <row r="18" spans="1:10" ht="27.95" customHeight="1">
      <c r="A18" s="1"/>
      <c r="B18" s="19" t="s">
        <v>42</v>
      </c>
      <c r="C18" s="19"/>
      <c r="D18" s="19"/>
      <c r="E18" s="19"/>
      <c r="F18" s="10">
        <f>SUM(F3:F17)</f>
        <v>571</v>
      </c>
      <c r="G18" s="1"/>
      <c r="H18" s="1" t="s">
        <v>43</v>
      </c>
      <c r="I18" s="12">
        <f ca="1">RANDBETWEEN(20,30)</f>
        <v>27</v>
      </c>
      <c r="J18" s="1"/>
    </row>
    <row r="19" spans="1:10" ht="27.95" customHeight="1">
      <c r="A19" s="1"/>
      <c r="B19" s="19" t="s">
        <v>44</v>
      </c>
      <c r="C19" s="19"/>
      <c r="D19" s="19"/>
      <c r="E19" s="19"/>
      <c r="F19" s="10">
        <f>AVERAGE(E3:E17)</f>
        <v>5153554.666666667</v>
      </c>
      <c r="G19" s="1"/>
      <c r="H19" s="1"/>
      <c r="I19" s="1"/>
      <c r="J19" s="1"/>
    </row>
    <row r="20" spans="1:10" ht="27.95" customHeight="1">
      <c r="A20" s="1"/>
      <c r="B20" s="19" t="s">
        <v>45</v>
      </c>
      <c r="C20" s="19"/>
      <c r="D20" s="19"/>
      <c r="E20" s="19"/>
      <c r="F20" s="10">
        <f>SUMIF(B3:B17,"서초점",E3:E17)</f>
        <v>4442500</v>
      </c>
      <c r="G20" s="1"/>
      <c r="H20" s="20" t="s">
        <v>46</v>
      </c>
      <c r="I20" s="20"/>
      <c r="J20" s="20"/>
    </row>
    <row r="21" spans="1:10" ht="27.95" customHeight="1">
      <c r="A21" s="1"/>
      <c r="B21" s="19" t="s">
        <v>47</v>
      </c>
      <c r="C21" s="19"/>
      <c r="D21" s="19"/>
      <c r="E21" s="19"/>
      <c r="F21" s="10">
        <f>AVERAGEIF(B3:B17,"강남점",F3:F17)</f>
        <v>39</v>
      </c>
      <c r="G21" s="1"/>
      <c r="H21" s="20"/>
      <c r="I21" s="20"/>
      <c r="J21" s="20"/>
    </row>
    <row r="22" spans="1:10" ht="27.95" customHeight="1">
      <c r="A22" s="1"/>
      <c r="B22" s="19" t="s">
        <v>48</v>
      </c>
      <c r="C22" s="19"/>
      <c r="D22" s="19"/>
      <c r="E22" s="19"/>
      <c r="F22" s="10">
        <f>SUMIFS(F3:F17,B3:B17,B3,C3:C17,C3)</f>
        <v>70</v>
      </c>
      <c r="G22" s="1"/>
      <c r="H22" s="20"/>
      <c r="I22" s="20"/>
      <c r="J22" s="20"/>
    </row>
    <row r="23" spans="1:10" ht="27.95" customHeight="1">
      <c r="A23" s="1"/>
      <c r="B23" s="19" t="s">
        <v>49</v>
      </c>
      <c r="C23" s="19"/>
      <c r="D23" s="19"/>
      <c r="E23" s="19"/>
      <c r="F23" s="10">
        <f>AVERAGEIFS(E3:E17,B3:B17,B9,C3:C17,C7)</f>
        <v>7549600</v>
      </c>
      <c r="G23" s="1"/>
      <c r="H23" s="20"/>
      <c r="I23" s="20"/>
      <c r="J23" s="20"/>
    </row>
    <row r="24" spans="1:10" ht="27.95" customHeight="1">
      <c r="A24" s="1"/>
      <c r="B24" s="19" t="s">
        <v>50</v>
      </c>
      <c r="C24" s="19"/>
      <c r="D24" s="19"/>
      <c r="E24" s="19"/>
      <c r="F24" s="10">
        <f>MEDIAN(F3:F17)</f>
        <v>33</v>
      </c>
      <c r="G24" s="1"/>
      <c r="H24" s="20"/>
      <c r="I24" s="20"/>
      <c r="J24" s="20"/>
    </row>
    <row r="25" spans="1:10" ht="27.9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7.9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7.95" customHeight="1">
      <c r="A27" s="1"/>
      <c r="B27" s="20"/>
      <c r="C27" s="20"/>
      <c r="D27" s="20"/>
      <c r="E27" s="20"/>
      <c r="F27" s="20"/>
      <c r="G27" s="20"/>
      <c r="H27" s="20"/>
      <c r="I27" s="20"/>
      <c r="J27" s="20"/>
    </row>
    <row r="28" spans="1:10" ht="27.95" customHeight="1">
      <c r="A28" s="1"/>
      <c r="B28" s="20"/>
      <c r="C28" s="20"/>
      <c r="D28" s="20"/>
      <c r="E28" s="20"/>
      <c r="F28" s="20"/>
      <c r="G28" s="20"/>
      <c r="H28" s="20"/>
      <c r="I28" s="20"/>
      <c r="J28" s="20"/>
    </row>
    <row r="29" spans="1:10" ht="27.9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7.95" customHeight="1">
      <c r="A30" s="1"/>
      <c r="B30" s="20"/>
      <c r="C30" s="20"/>
      <c r="D30" s="20"/>
      <c r="E30" s="20"/>
      <c r="F30" s="20"/>
      <c r="G30" s="20"/>
      <c r="H30" s="20"/>
      <c r="I30" s="20"/>
      <c r="J30" s="20"/>
    </row>
    <row r="31" spans="1:10" ht="27.95" customHeight="1">
      <c r="A31" s="1"/>
      <c r="B31" s="20"/>
      <c r="C31" s="20"/>
      <c r="D31" s="20"/>
      <c r="E31" s="20"/>
      <c r="F31" s="20"/>
      <c r="G31" s="20"/>
      <c r="H31" s="20"/>
      <c r="I31" s="20"/>
      <c r="J31" s="20"/>
    </row>
    <row r="32" spans="1:10" ht="27.9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11">
    <mergeCell ref="B30:J31"/>
    <mergeCell ref="B22:E22"/>
    <mergeCell ref="B23:E23"/>
    <mergeCell ref="B24:E24"/>
    <mergeCell ref="H20:J24"/>
    <mergeCell ref="B27:J28"/>
    <mergeCell ref="B1:F1"/>
    <mergeCell ref="B18:E18"/>
    <mergeCell ref="B19:E19"/>
    <mergeCell ref="B20:E20"/>
    <mergeCell ref="B21:E2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workbookViewId="0"/>
  </sheetViews>
  <sheetFormatPr defaultRowHeight="14.25"/>
  <cols>
    <col min="1" max="1" width="13" customWidth="1"/>
    <col min="2" max="5" width="17" customWidth="1"/>
    <col min="6" max="6" width="40" customWidth="1"/>
    <col min="7" max="10" width="13" customWidth="1"/>
  </cols>
  <sheetData>
    <row r="1" spans="1:10" ht="27.95" customHeight="1">
      <c r="A1" s="1"/>
      <c r="B1" s="17" t="s">
        <v>52</v>
      </c>
      <c r="C1" s="18"/>
      <c r="D1" s="18"/>
      <c r="E1" s="18"/>
      <c r="F1" s="18"/>
      <c r="G1" s="1"/>
      <c r="H1" s="1"/>
      <c r="I1" s="1"/>
      <c r="J1" s="1"/>
    </row>
    <row r="2" spans="1:10" ht="27.9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7.95" customHeight="1">
      <c r="A3" s="1"/>
      <c r="B3" s="3" t="s">
        <v>53</v>
      </c>
      <c r="C3" s="3" t="s">
        <v>23</v>
      </c>
      <c r="D3" s="3" t="s">
        <v>54</v>
      </c>
      <c r="E3" s="3" t="s">
        <v>25</v>
      </c>
      <c r="F3" s="3" t="s">
        <v>55</v>
      </c>
      <c r="G3" s="1"/>
      <c r="H3" s="1"/>
      <c r="I3" s="1"/>
      <c r="J3" s="1"/>
    </row>
    <row r="4" spans="1:10" ht="27.95" customHeight="1">
      <c r="A4" s="1"/>
      <c r="B4" s="1" t="s">
        <v>28</v>
      </c>
      <c r="C4" s="13">
        <v>9876.5429999999997</v>
      </c>
      <c r="D4" s="1">
        <v>1</v>
      </c>
      <c r="E4" s="15"/>
      <c r="F4" s="1" t="s">
        <v>56</v>
      </c>
      <c r="G4" s="1"/>
      <c r="H4" s="1"/>
      <c r="I4" s="1"/>
      <c r="J4" s="1"/>
    </row>
    <row r="5" spans="1:10" ht="27.95" customHeight="1">
      <c r="A5" s="1"/>
      <c r="B5" s="1" t="s">
        <v>28</v>
      </c>
      <c r="C5" s="13">
        <v>9876.5429999999997</v>
      </c>
      <c r="D5" s="1">
        <v>-2</v>
      </c>
      <c r="E5" s="9"/>
      <c r="F5" s="1" t="s">
        <v>57</v>
      </c>
      <c r="G5" s="1"/>
      <c r="H5" s="1"/>
      <c r="I5" s="1"/>
      <c r="J5" s="1"/>
    </row>
    <row r="6" spans="1:10" ht="27.95" customHeight="1">
      <c r="A6" s="1"/>
      <c r="B6" s="1" t="s">
        <v>32</v>
      </c>
      <c r="C6" s="7">
        <v>-5.5</v>
      </c>
      <c r="D6" s="1">
        <v>0</v>
      </c>
      <c r="E6" s="9"/>
      <c r="F6" s="1" t="s">
        <v>58</v>
      </c>
      <c r="G6" s="1"/>
      <c r="H6" s="1"/>
      <c r="I6" s="1"/>
      <c r="J6" s="1"/>
    </row>
    <row r="7" spans="1:10" ht="27.95" customHeight="1">
      <c r="A7" s="1"/>
      <c r="B7" s="1" t="s">
        <v>30</v>
      </c>
      <c r="C7" s="7">
        <v>-5.5</v>
      </c>
      <c r="D7" s="1">
        <v>0</v>
      </c>
      <c r="E7" s="9"/>
      <c r="F7" s="1" t="s">
        <v>59</v>
      </c>
      <c r="G7" s="1"/>
      <c r="H7" s="1"/>
      <c r="I7" s="1"/>
      <c r="J7" s="1"/>
    </row>
    <row r="8" spans="1:10" ht="27.95" customHeight="1">
      <c r="A8" s="1"/>
      <c r="B8" s="1" t="s">
        <v>34</v>
      </c>
      <c r="C8" s="7">
        <v>-5.5</v>
      </c>
      <c r="D8" s="1">
        <v>0</v>
      </c>
      <c r="E8" s="9"/>
      <c r="F8" s="1" t="s">
        <v>60</v>
      </c>
      <c r="G8" s="1"/>
      <c r="H8" s="1"/>
      <c r="I8" s="1"/>
      <c r="J8" s="1"/>
    </row>
    <row r="9" spans="1:10" ht="27.95" customHeight="1">
      <c r="A9" s="1"/>
      <c r="B9" s="1" t="s">
        <v>36</v>
      </c>
      <c r="C9" s="7">
        <v>-5.5</v>
      </c>
      <c r="D9" s="1"/>
      <c r="E9" s="9"/>
      <c r="F9" s="1" t="s">
        <v>61</v>
      </c>
      <c r="G9" s="1"/>
      <c r="H9" s="1"/>
      <c r="I9" s="1"/>
      <c r="J9" s="1"/>
    </row>
    <row r="10" spans="1:10" ht="27.95" customHeight="1">
      <c r="A10" s="1"/>
      <c r="B10" s="1" t="s">
        <v>32</v>
      </c>
      <c r="C10" s="14">
        <v>12340</v>
      </c>
      <c r="D10" s="1">
        <v>-1</v>
      </c>
      <c r="E10" s="9"/>
      <c r="F10" s="1" t="s">
        <v>62</v>
      </c>
      <c r="G10" s="1"/>
      <c r="H10" s="1"/>
      <c r="I10" s="1"/>
      <c r="J10" s="1"/>
    </row>
    <row r="11" spans="1:10" ht="27.95" customHeight="1">
      <c r="A11" s="1"/>
      <c r="B11" s="1" t="s">
        <v>34</v>
      </c>
      <c r="C11" s="13">
        <v>12345.123</v>
      </c>
      <c r="D11" s="1">
        <v>-2</v>
      </c>
      <c r="E11" s="9"/>
      <c r="F11" s="1" t="s">
        <v>63</v>
      </c>
      <c r="G11" s="1"/>
      <c r="H11" s="1"/>
      <c r="I11" s="1"/>
      <c r="J11" s="1"/>
    </row>
    <row r="12" spans="1:10" ht="27.9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7.9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7.95" customHeight="1">
      <c r="A14" s="1"/>
      <c r="B14" s="20" t="s">
        <v>64</v>
      </c>
      <c r="C14" s="20"/>
      <c r="D14" s="20"/>
      <c r="E14" s="20"/>
      <c r="F14" s="20"/>
      <c r="G14" s="1"/>
      <c r="H14" s="1"/>
      <c r="I14" s="1"/>
      <c r="J14" s="1"/>
    </row>
    <row r="15" spans="1:10" ht="27.95" customHeight="1">
      <c r="A15" s="1"/>
      <c r="B15" s="20"/>
      <c r="C15" s="20"/>
      <c r="D15" s="20"/>
      <c r="E15" s="20"/>
      <c r="F15" s="20"/>
      <c r="G15" s="1"/>
      <c r="H15" s="1"/>
      <c r="I15" s="1"/>
      <c r="J15" s="1"/>
    </row>
    <row r="16" spans="1:10" ht="27.95" customHeight="1">
      <c r="A16" s="1"/>
      <c r="B16" s="20"/>
      <c r="C16" s="20"/>
      <c r="D16" s="20"/>
      <c r="E16" s="20"/>
      <c r="F16" s="20"/>
      <c r="G16" s="1"/>
      <c r="H16" s="1"/>
      <c r="I16" s="1"/>
      <c r="J16" s="1"/>
    </row>
    <row r="17" spans="1:10" ht="27.9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27.9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27.9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7.9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7.9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7.9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7.9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7.9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7.9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7.9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7.9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7.9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27.9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7.9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7.9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27.9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2">
    <mergeCell ref="B1:F1"/>
    <mergeCell ref="B14:F16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2"/>
  <sheetViews>
    <sheetView workbookViewId="0"/>
  </sheetViews>
  <sheetFormatPr defaultRowHeight="14.25"/>
  <cols>
    <col min="1" max="1" width="13" customWidth="1"/>
    <col min="2" max="5" width="17" customWidth="1"/>
    <col min="6" max="6" width="40" customWidth="1"/>
    <col min="7" max="10" width="13" customWidth="1"/>
  </cols>
  <sheetData>
    <row r="1" spans="1:10" ht="27.95" customHeight="1">
      <c r="A1" s="1"/>
      <c r="B1" s="17" t="s">
        <v>52</v>
      </c>
      <c r="C1" s="18"/>
      <c r="D1" s="18"/>
      <c r="E1" s="18"/>
      <c r="F1" s="18"/>
      <c r="G1" s="1"/>
      <c r="H1" s="1"/>
      <c r="I1" s="1"/>
      <c r="J1" s="1"/>
    </row>
    <row r="2" spans="1:10" ht="27.9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7.95" customHeight="1">
      <c r="A3" s="1"/>
      <c r="B3" s="3" t="s">
        <v>53</v>
      </c>
      <c r="C3" s="3" t="s">
        <v>23</v>
      </c>
      <c r="D3" s="3" t="s">
        <v>54</v>
      </c>
      <c r="E3" s="3" t="s">
        <v>25</v>
      </c>
      <c r="F3" s="3" t="s">
        <v>55</v>
      </c>
      <c r="G3" s="1"/>
      <c r="H3" s="1"/>
      <c r="I3" s="1"/>
      <c r="J3" s="1"/>
    </row>
    <row r="4" spans="1:10" ht="27.95" customHeight="1">
      <c r="A4" s="1"/>
      <c r="B4" s="1" t="s">
        <v>28</v>
      </c>
      <c r="C4" s="13">
        <v>9876.5429999999997</v>
      </c>
      <c r="D4" s="1">
        <v>1</v>
      </c>
      <c r="E4" s="16">
        <f>ROUND(C4,D4)</f>
        <v>9876.5</v>
      </c>
      <c r="F4" s="1" t="s">
        <v>56</v>
      </c>
      <c r="G4" s="1"/>
      <c r="H4" s="1"/>
      <c r="I4" s="1"/>
      <c r="J4" s="1"/>
    </row>
    <row r="5" spans="1:10" ht="27.95" customHeight="1">
      <c r="A5" s="1"/>
      <c r="B5" s="1" t="s">
        <v>28</v>
      </c>
      <c r="C5" s="13">
        <v>9876.5429999999997</v>
      </c>
      <c r="D5" s="1">
        <v>-2</v>
      </c>
      <c r="E5" s="12">
        <f>ROUND(C5,D5)</f>
        <v>9900</v>
      </c>
      <c r="F5" s="1" t="s">
        <v>57</v>
      </c>
      <c r="G5" s="1"/>
      <c r="H5" s="1"/>
      <c r="I5" s="1"/>
      <c r="J5" s="1"/>
    </row>
    <row r="6" spans="1:10" ht="27.95" customHeight="1">
      <c r="A6" s="1"/>
      <c r="B6" s="1" t="s">
        <v>32</v>
      </c>
      <c r="C6" s="7">
        <v>-5.5</v>
      </c>
      <c r="D6" s="1">
        <v>0</v>
      </c>
      <c r="E6" s="12">
        <f>ROUNDUP(C6,D6)</f>
        <v>-6</v>
      </c>
      <c r="F6" s="1" t="s">
        <v>58</v>
      </c>
      <c r="G6" s="1"/>
      <c r="H6" s="1"/>
      <c r="I6" s="1"/>
      <c r="J6" s="1"/>
    </row>
    <row r="7" spans="1:10" ht="27.95" customHeight="1">
      <c r="A7" s="1"/>
      <c r="B7" s="1" t="s">
        <v>30</v>
      </c>
      <c r="C7" s="7">
        <v>-5.5</v>
      </c>
      <c r="D7" s="1">
        <v>0</v>
      </c>
      <c r="E7" s="12">
        <f>ROUNDDOWN(C7,D7)</f>
        <v>-5</v>
      </c>
      <c r="F7" s="1" t="s">
        <v>59</v>
      </c>
      <c r="G7" s="1"/>
      <c r="H7" s="1"/>
      <c r="I7" s="1"/>
      <c r="J7" s="1"/>
    </row>
    <row r="8" spans="1:10" ht="27.95" customHeight="1">
      <c r="A8" s="1"/>
      <c r="B8" s="1" t="s">
        <v>34</v>
      </c>
      <c r="C8" s="7">
        <v>-5.5</v>
      </c>
      <c r="D8" s="1">
        <v>0</v>
      </c>
      <c r="E8" s="12">
        <f>TRUNC(C8,D8)</f>
        <v>-5</v>
      </c>
      <c r="F8" s="1" t="s">
        <v>60</v>
      </c>
      <c r="G8" s="1"/>
      <c r="H8" s="1"/>
      <c r="I8" s="1"/>
      <c r="J8" s="1"/>
    </row>
    <row r="9" spans="1:10" ht="27.95" customHeight="1">
      <c r="A9" s="1"/>
      <c r="B9" s="1" t="s">
        <v>36</v>
      </c>
      <c r="C9" s="7">
        <v>-5.5</v>
      </c>
      <c r="D9" s="1"/>
      <c r="E9" s="12">
        <f>INT(C9)</f>
        <v>-6</v>
      </c>
      <c r="F9" s="1" t="s">
        <v>61</v>
      </c>
      <c r="G9" s="1"/>
      <c r="H9" s="1"/>
      <c r="I9" s="1"/>
      <c r="J9" s="1"/>
    </row>
    <row r="10" spans="1:10" ht="27.95" customHeight="1">
      <c r="A10" s="1"/>
      <c r="B10" s="1" t="s">
        <v>32</v>
      </c>
      <c r="C10" s="14">
        <v>12340</v>
      </c>
      <c r="D10" s="1">
        <v>-1</v>
      </c>
      <c r="E10" s="12">
        <f>ROUNDUP(C10,D10)</f>
        <v>12340</v>
      </c>
      <c r="F10" s="1" t="s">
        <v>62</v>
      </c>
      <c r="G10" s="1"/>
      <c r="H10" s="1"/>
      <c r="I10" s="1"/>
      <c r="J10" s="1"/>
    </row>
    <row r="11" spans="1:10" ht="27.95" customHeight="1">
      <c r="A11" s="1"/>
      <c r="B11" s="1" t="s">
        <v>34</v>
      </c>
      <c r="C11" s="13">
        <v>12345.123</v>
      </c>
      <c r="D11" s="1">
        <v>-2</v>
      </c>
      <c r="E11" s="12">
        <f>TRUNC(C11,D11)</f>
        <v>12300</v>
      </c>
      <c r="F11" s="1" t="s">
        <v>63</v>
      </c>
      <c r="G11" s="1"/>
      <c r="H11" s="1"/>
      <c r="I11" s="1"/>
      <c r="J11" s="1"/>
    </row>
    <row r="12" spans="1:10" ht="27.9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7.9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7.95" customHeight="1">
      <c r="A14" s="1"/>
      <c r="B14" s="20" t="s">
        <v>64</v>
      </c>
      <c r="C14" s="20"/>
      <c r="D14" s="20"/>
      <c r="E14" s="20"/>
      <c r="F14" s="20"/>
      <c r="G14" s="1"/>
      <c r="H14" s="1"/>
      <c r="I14" s="1"/>
      <c r="J14" s="1"/>
    </row>
    <row r="15" spans="1:10" ht="27.95" customHeight="1">
      <c r="A15" s="1"/>
      <c r="B15" s="20"/>
      <c r="C15" s="20"/>
      <c r="D15" s="20"/>
      <c r="E15" s="20"/>
      <c r="F15" s="20"/>
      <c r="G15" s="1"/>
      <c r="H15" s="1"/>
      <c r="I15" s="1"/>
      <c r="J15" s="1"/>
    </row>
    <row r="16" spans="1:10" ht="27.95" customHeight="1">
      <c r="A16" s="1"/>
      <c r="B16" s="20"/>
      <c r="C16" s="20"/>
      <c r="D16" s="20"/>
      <c r="E16" s="20"/>
      <c r="F16" s="20"/>
      <c r="G16" s="1"/>
      <c r="H16" s="1"/>
      <c r="I16" s="1"/>
      <c r="J16" s="1"/>
    </row>
    <row r="17" spans="1:10" ht="27.9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27.9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27.9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7.9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7.9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7.9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7.9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7.9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7.9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7.9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7.9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7.9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27.9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7.9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7.9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27.9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2">
    <mergeCell ref="B1:F1"/>
    <mergeCell ref="B14:F1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실습</vt:lpstr>
      <vt:lpstr>정답</vt:lpstr>
      <vt:lpstr>추가실습</vt:lpstr>
      <vt:lpstr>추가정답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jong park</cp:lastModifiedBy>
  <dcterms:modified xsi:type="dcterms:W3CDTF">2026-10-13T06:23:29Z</dcterms:modified>
</cp:coreProperties>
</file>