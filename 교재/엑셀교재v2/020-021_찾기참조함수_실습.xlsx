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4CB52E94-B301-4A18-850F-73390001F8A4}" xr6:coauthVersionLast="47" xr6:coauthVersionMax="47" xr10:uidLastSave="{00000000-0000-0000-0000-000000000000}"/>
  <bookViews>
    <workbookView xWindow="-24255" yWindow="810" windowWidth="22200" windowHeight="14790" xr2:uid="{00000000-000D-0000-FFFF-FFFF00000000}"/>
  </bookViews>
  <sheets>
    <sheet name="찾기참조_실습" sheetId="1" r:id="rId1"/>
    <sheet name="찾기참조_정답" sheetId="2" r:id="rId2"/>
    <sheet name="문제와힌트" sheetId="3" r:id="rId3"/>
    <sheet name="추가연습" sheetId="4" r:id="rId4"/>
  </sheets>
  <definedNames>
    <definedName name="_xlnm.Print_Area" localSheetId="2">문제와힌트!$A$1:$E$22</definedName>
    <definedName name="_xlnm.Print_Area" localSheetId="0">찾기참조_실습!$B$2:$P$31</definedName>
    <definedName name="_xlnm.Print_Area" localSheetId="1">찾기참조_정답!$B$2:$P$31</definedName>
    <definedName name="_xlnm.Print_Area" localSheetId="3">추가연습!$A$1:$C$19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15" i="4"/>
  <c r="C14" i="4"/>
  <c r="C13" i="4"/>
  <c r="C12" i="4"/>
  <c r="B25" i="2"/>
  <c r="E22" i="2"/>
  <c r="E21" i="2"/>
  <c r="E20" i="2"/>
  <c r="E19" i="2"/>
  <c r="E18" i="2"/>
  <c r="M13" i="2"/>
  <c r="I13" i="2"/>
  <c r="H13" i="2"/>
  <c r="G13" i="2"/>
  <c r="M12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</calcChain>
</file>

<file path=xl/sharedStrings.xml><?xml version="1.0" encoding="utf-8"?>
<sst xmlns="http://schemas.openxmlformats.org/spreadsheetml/2006/main" count="221" uniqueCount="130">
  <si>
    <t>제품코드</t>
  </si>
  <si>
    <t>판매사원</t>
  </si>
  <si>
    <t>판매금액</t>
  </si>
  <si>
    <t>점수</t>
  </si>
  <si>
    <t>구분</t>
  </si>
  <si>
    <t>단가</t>
  </si>
  <si>
    <t>등급</t>
  </si>
  <si>
    <t>비고</t>
  </si>
  <si>
    <t>A-1</t>
  </si>
  <si>
    <t>이동민</t>
  </si>
  <si>
    <t>A</t>
  </si>
  <si>
    <t>A-2</t>
  </si>
  <si>
    <t>이정민</t>
  </si>
  <si>
    <t>B</t>
  </si>
  <si>
    <t>C-1</t>
  </si>
  <si>
    <t>김동수</t>
  </si>
  <si>
    <t>C</t>
  </si>
  <si>
    <t>C-2</t>
  </si>
  <si>
    <t>김석훈</t>
  </si>
  <si>
    <t>D</t>
  </si>
  <si>
    <t>B-3</t>
  </si>
  <si>
    <t>이영윤</t>
  </si>
  <si>
    <t>박동수</t>
  </si>
  <si>
    <t>이범수</t>
  </si>
  <si>
    <t>F</t>
  </si>
  <si>
    <t>D-1</t>
  </si>
  <si>
    <t>지영수</t>
  </si>
  <si>
    <t>D-2</t>
  </si>
  <si>
    <t>배태지</t>
  </si>
  <si>
    <t>B-1</t>
  </si>
  <si>
    <t>이용석</t>
  </si>
  <si>
    <t>a의 위치 SEARCH</t>
  </si>
  <si>
    <t>이효리</t>
  </si>
  <si>
    <t>a의 위치 FIND</t>
  </si>
  <si>
    <t>3월 소고기 등급별 판매 통계</t>
  </si>
  <si>
    <t>등급별 kg당 판매가</t>
  </si>
  <si>
    <t>지점명</t>
  </si>
  <si>
    <t>3월 판매량 (kg)</t>
  </si>
  <si>
    <t>월간 판매액 (원)</t>
  </si>
  <si>
    <t>금액 (원)</t>
  </si>
  <si>
    <t>횡성점</t>
  </si>
  <si>
    <t>국산(A++)</t>
  </si>
  <si>
    <t>이천점</t>
  </si>
  <si>
    <t>국산(A+)</t>
  </si>
  <si>
    <t>보령점</t>
  </si>
  <si>
    <t>국산(A)</t>
  </si>
  <si>
    <t>제주점</t>
  </si>
  <si>
    <t>미국산</t>
  </si>
  <si>
    <t>부산점</t>
  </si>
  <si>
    <t>호주산</t>
  </si>
  <si>
    <t>3월 판매량이 가장 많은 지점</t>
  </si>
  <si>
    <t>학습용 전사 자료: 노트 020~021페이지. SEARCH는 M12, FIND는 M13에 입력합니다.</t>
  </si>
  <si>
    <t>판매사원 이름은 사진의 판독에 따라 옮겼으며, 이 문제의 계산에는 사용하지 않습니다.</t>
  </si>
  <si>
    <t>파란 칸은 정답 수식입니다. 셀을 클릭하면 수식 입력줄에서 수식을 볼 수 있습니다.</t>
  </si>
  <si>
    <t>020 021 찾기 참조 함수 문제와 힌트</t>
  </si>
  <si>
    <t>실습 시트에서 입력하고 정답 시트와 비교하세요. 단가·등급·비고는 13행까지 채웁니다.</t>
  </si>
  <si>
    <t>번호</t>
  </si>
  <si>
    <t>입력 위치</t>
  </si>
  <si>
    <t>문제</t>
  </si>
  <si>
    <t>힌트</t>
  </si>
  <si>
    <t>첫 결과</t>
  </si>
  <si>
    <t>1</t>
  </si>
  <si>
    <t>G3:G13</t>
  </si>
  <si>
    <t>제품코드 첫 글자로 단가를 구하세요.</t>
  </si>
  <si>
    <t>VLOOKUP, LEFT</t>
  </si>
  <si>
    <t>G3=10,000</t>
  </si>
  <si>
    <t>2</t>
  </si>
  <si>
    <t>H3:H13</t>
  </si>
  <si>
    <t>점수에 따른 등급을 구하세요.</t>
  </si>
  <si>
    <t>HLOOKUP, 근사값 1</t>
  </si>
  <si>
    <t>H3=A</t>
  </si>
  <si>
    <t>3</t>
  </si>
  <si>
    <t>I3:I13</t>
  </si>
  <si>
    <t>제품코드 끝 숫자가 1~4이면 슈퍼·골드·실버·브론즈를 표시하세요.</t>
  </si>
  <si>
    <t>CHOOSE, RIGHT</t>
  </si>
  <si>
    <t>I3=슈퍼</t>
  </si>
  <si>
    <t>4</t>
  </si>
  <si>
    <t>M12</t>
  </si>
  <si>
    <t>K11에서 소문자 a의 위치를 대소문자 구분 없이 구하세요.</t>
  </si>
  <si>
    <t>SEARCH</t>
  </si>
  <si>
    <t>5</t>
  </si>
  <si>
    <t>M13</t>
  </si>
  <si>
    <t>K11에서 소문자 a의 위치를 대소문자를 구분하여 구하세요.</t>
  </si>
  <si>
    <t>FIND</t>
  </si>
  <si>
    <t>6</t>
  </si>
  <si>
    <t>E18:E22</t>
  </si>
  <si>
    <t>판매량 × 등급별 kg당 판매가를 구하세요.</t>
  </si>
  <si>
    <t>INDEX, MATCH</t>
  </si>
  <si>
    <t>E18=11,720,000</t>
  </si>
  <si>
    <t>7</t>
  </si>
  <si>
    <t>B25</t>
  </si>
  <si>
    <t>3월 판매량이 가장 많은 지점명을 구하세요.</t>
  </si>
  <si>
    <t>INDEX, MATCH, LARGE</t>
  </si>
  <si>
    <t>입력 방법: 이름 상자에 G3 입력 → Enter → =로 시작하는 수식 입력 → Enter.</t>
  </si>
  <si>
    <t>채우기 방법: G3:G13 선택 → 홈 → 편집 → 채우기 → 아래쪽 또는 Ctrl+D.</t>
  </si>
  <si>
    <t>함수 마법사: 결과 셀 선택 → 수식 → 함수 삽입 또는 수식 입력줄 왼쪽 fx.</t>
  </si>
  <si>
    <t>범위 고정: 수식 편집 중 K3:L6 선택 → F4 → $K$3:$L$6.</t>
  </si>
  <si>
    <t>INDEX의 범위는 제목을 뺀 데이터입니다. MATCH의 0은 정확히 같은 값을 찾습니다.</t>
  </si>
  <si>
    <t>원본 문제 ⑤의 M12는 화면 배치에 맞춰 M13으로 수정했습니다.</t>
  </si>
  <si>
    <t>정답은 직접 계산하는 수식으로 저장되어 입력 자료를 바꾸면 결과도 바뀝니다.</t>
  </si>
  <si>
    <t>추가 연습과 확인</t>
  </si>
  <si>
    <t>연습 내용</t>
  </si>
  <si>
    <t>답 입력</t>
  </si>
  <si>
    <t>확인할 내용</t>
  </si>
  <si>
    <t>79점의 등급</t>
  </si>
  <si>
    <t>실습 시트의 점수 기준표를 HLOOKUP으로 참조</t>
  </si>
  <si>
    <t>D-4의 단가</t>
  </si>
  <si>
    <t>LEFT로 첫 글자를 구한 뒤 VLOOKUP 사용</t>
  </si>
  <si>
    <t>D-4의 비고</t>
  </si>
  <si>
    <t>RIGHT로 끝 숫자를 구한 뒤 CHOOSE 사용</t>
  </si>
  <si>
    <t>두 번째 판매량 지점</t>
  </si>
  <si>
    <t>LARGE의 두 번째 인수를 2로 사용</t>
  </si>
  <si>
    <t>점수 60의 등급</t>
  </si>
  <si>
    <t>HLOOKUP 근사값의 경계값 확인</t>
  </si>
  <si>
    <t>문항</t>
  </si>
  <si>
    <t>정답 수식</t>
  </si>
  <si>
    <t>결과</t>
  </si>
  <si>
    <t>79점</t>
  </si>
  <si>
    <t>=HLOOKUP(79,'찾기참조_실습'!$L$8:$P$9,2,1)</t>
  </si>
  <si>
    <t>D-4 단가</t>
  </si>
  <si>
    <t>=VLOOKUP(LEFT("D-4",1),'찾기참조_실습'!$K$3:$L$6,2,0)</t>
  </si>
  <si>
    <t>D-4 비고</t>
  </si>
  <si>
    <t>=CHOOSE(RIGHT("D-4",1),"슈퍼","골드","실버","브론즈")</t>
  </si>
  <si>
    <t>두 번째 지점</t>
  </si>
  <si>
    <t>=INDEX('찾기참조_실습'!B18:B22,MATCH(LARGE('찾기참조_실습'!D18:D22,2),'찾기참조_실습'!D18:D22,0))</t>
  </si>
  <si>
    <t>60점</t>
  </si>
  <si>
    <t>=HLOOKUP(60,'찾기참조_실습'!$L$8:$P$9,2,1)</t>
  </si>
  <si>
    <t>동점이면 MATCH는 위에서 처음 나온 지점을 반환합니다.</t>
  </si>
  <si>
    <t>HLOOKUP의 1은 점수 이하에서 가장 큰 기준값을 찾습니다. L8:P8을 오름차순으로 유지하세요.</t>
    <phoneticPr fontId="6" type="noConversion"/>
  </si>
  <si>
    <t>AbcdafF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</si>
</sst>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6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FF2CC"/>
      </patternFill>
    </fill>
    <fill>
      <patternFill patternType="solid">
        <fgColor rgb="FFE8F1FB"/>
      </patternFill>
    </fill>
  </fills>
  <borders count="2">
    <border>
      <left/>
      <right/>
      <top/>
      <bottom/>
      <diagonal/>
    </border>
    <border>
      <left style="thin">
        <color rgb="FFC5CCD4"/>
      </left>
      <right style="thin">
        <color rgb="FFC5CCD4"/>
      </right>
      <top style="thin">
        <color rgb="FFC5CCD4"/>
      </top>
      <bottom style="thin">
        <color rgb="FFC5CCD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vertical="center"/>
    </xf>
    <xf numFmtId="3" fontId="1" fillId="0" borderId="1" xfId="1" applyNumberFormat="1" applyFont="1" applyBorder="1" applyAlignment="1">
      <alignment vertical="center"/>
    </xf>
    <xf numFmtId="3" fontId="1" fillId="3" borderId="1" xfId="1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1" fillId="4" borderId="1" xfId="1" applyFont="1" applyFill="1" applyBorder="1" applyAlignment="1">
      <alignment vertical="center"/>
    </xf>
    <xf numFmtId="3" fontId="1" fillId="4" borderId="1" xfId="1" applyNumberFormat="1" applyFont="1" applyFill="1" applyBorder="1" applyAlignment="1">
      <alignment vertical="center"/>
    </xf>
    <xf numFmtId="0" fontId="2" fillId="2" borderId="0" xfId="1" applyFont="1" applyFill="1" applyAlignment="1">
      <alignment horizontal="center" wrapText="1"/>
    </xf>
    <xf numFmtId="0" fontId="1" fillId="0" borderId="0" xfId="1" applyFont="1" applyAlignment="1">
      <alignment wrapText="1"/>
    </xf>
    <xf numFmtId="0" fontId="1" fillId="3" borderId="0" xfId="1" applyFont="1" applyFill="1"/>
    <xf numFmtId="3" fontId="1" fillId="0" borderId="0" xfId="1" applyNumberFormat="1" applyFont="1"/>
    <xf numFmtId="0" fontId="1" fillId="0" borderId="1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3" borderId="1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1" fillId="4" borderId="1" xfId="1" applyFont="1" applyFill="1" applyBorder="1" applyAlignment="1">
      <alignment vertical="center"/>
    </xf>
    <xf numFmtId="0" fontId="4" fillId="0" borderId="0" xfId="1" applyFont="1"/>
    <xf numFmtId="0" fontId="1" fillId="0" borderId="0" xfId="1" applyFont="1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2" borderId="0" xfId="1" applyFont="1" applyFill="1" applyAlignment="1">
      <alignment horizontal="center" wrapText="1"/>
    </xf>
    <xf numFmtId="0" fontId="1" fillId="0" borderId="0" xfId="1" applyFont="1" applyAlignment="1">
      <alignment wrapText="1"/>
    </xf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AA28"/>
    <pageSetUpPr fitToPage="1"/>
  </sheetPr>
  <dimension ref="A1:P35"/>
  <sheetViews>
    <sheetView tabSelected="1" zoomScale="80" zoomScaleNormal="80" workbookViewId="0">
      <pane ySplit="2" topLeftCell="A3" activePane="bottomLeft" state="frozen"/>
      <selection pane="bottomLeft" activeCell="K12" sqref="K12:L12"/>
    </sheetView>
  </sheetViews>
  <sheetFormatPr defaultRowHeight="14.25"/>
  <cols>
    <col min="1" max="1" width="3" customWidth="1"/>
    <col min="2" max="3" width="15" customWidth="1"/>
    <col min="4" max="5" width="17" customWidth="1"/>
    <col min="6" max="9" width="12" customWidth="1"/>
    <col min="10" max="10" width="3" customWidth="1"/>
    <col min="11" max="11" width="20" customWidth="1"/>
    <col min="12" max="16" width="12" customWidth="1"/>
  </cols>
  <sheetData>
    <row r="1" spans="1:16" ht="26.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56" customHeight="1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23" t="inlineStr">
        <is>
          <t xml:space="preserve">단가
(VLOOKUP, LEFT 사용)</t>
        </is>
      </c>
      <c r="H2" s="23" t="inlineStr">
        <is>
          <t xml:space="preserve">등급
(HLOOKUP 사용)</t>
        </is>
      </c>
      <c r="I2" s="23" t="inlineStr">
        <is>
          <t xml:space="preserve">비고
(CHOOSE, RIGHT 사용)</t>
        </is>
      </c>
      <c r="J2" s="2"/>
      <c r="K2" s="4" t="s">
        <v>0</v>
      </c>
      <c r="L2" s="4" t="s">
        <v>5</v>
      </c>
      <c r="M2" s="2"/>
      <c r="N2" s="2"/>
      <c r="O2" s="2"/>
      <c r="P2" s="2"/>
    </row>
    <row r="3" spans="1:16" ht="26.1" customHeight="1">
      <c r="A3" s="2"/>
      <c r="B3" s="3" t="s">
        <v>8</v>
      </c>
      <c r="C3" s="3" t="s">
        <v>9</v>
      </c>
      <c r="D3" s="6">
        <v>1110000</v>
      </c>
      <c r="E3" s="3">
        <v>90</v>
      </c>
      <c r="F3" s="3">
        <v>1</v>
      </c>
      <c r="G3" s="7"/>
      <c r="H3" s="5"/>
      <c r="I3" s="5"/>
      <c r="J3" s="2"/>
      <c r="K3" s="3" t="s">
        <v>10</v>
      </c>
      <c r="L3" s="6">
        <v>10000</v>
      </c>
      <c r="M3" s="2"/>
      <c r="N3" s="2"/>
      <c r="O3" s="2"/>
      <c r="P3" s="2"/>
    </row>
    <row r="4" spans="1:16" ht="26.1" customHeight="1">
      <c r="A4" s="2"/>
      <c r="B4" s="3" t="s">
        <v>11</v>
      </c>
      <c r="C4" s="3" t="s">
        <v>12</v>
      </c>
      <c r="D4" s="6">
        <v>2215200</v>
      </c>
      <c r="E4" s="3">
        <v>80</v>
      </c>
      <c r="F4" s="3">
        <v>3</v>
      </c>
      <c r="G4" s="7"/>
      <c r="H4" s="5"/>
      <c r="I4" s="5"/>
      <c r="J4" s="2"/>
      <c r="K4" s="3" t="s">
        <v>13</v>
      </c>
      <c r="L4" s="6">
        <v>15000</v>
      </c>
      <c r="M4" s="2"/>
      <c r="N4" s="2"/>
      <c r="O4" s="2"/>
      <c r="P4" s="2"/>
    </row>
    <row r="5" spans="1:16" ht="26.1" customHeight="1">
      <c r="A5" s="2"/>
      <c r="B5" s="3" t="s">
        <v>14</v>
      </c>
      <c r="C5" s="3" t="s">
        <v>15</v>
      </c>
      <c r="D5" s="6">
        <v>4440000</v>
      </c>
      <c r="E5" s="3">
        <v>70</v>
      </c>
      <c r="F5" s="3">
        <v>2</v>
      </c>
      <c r="G5" s="7"/>
      <c r="H5" s="5"/>
      <c r="I5" s="5"/>
      <c r="J5" s="2"/>
      <c r="K5" s="3" t="s">
        <v>16</v>
      </c>
      <c r="L5" s="6">
        <v>20000</v>
      </c>
      <c r="M5" s="2"/>
      <c r="N5" s="2"/>
      <c r="O5" s="2"/>
      <c r="P5" s="2"/>
    </row>
    <row r="6" spans="1:16" ht="26.1" customHeight="1">
      <c r="A6" s="2"/>
      <c r="B6" s="3" t="s">
        <v>17</v>
      </c>
      <c r="C6" s="3" t="s">
        <v>18</v>
      </c>
      <c r="D6" s="6">
        <v>3332500</v>
      </c>
      <c r="E6" s="3">
        <v>99</v>
      </c>
      <c r="F6" s="3">
        <v>1</v>
      </c>
      <c r="G6" s="7"/>
      <c r="H6" s="5"/>
      <c r="I6" s="5"/>
      <c r="J6" s="2"/>
      <c r="K6" s="3" t="s">
        <v>19</v>
      </c>
      <c r="L6" s="6">
        <v>25000</v>
      </c>
      <c r="M6" s="2"/>
      <c r="N6" s="2"/>
      <c r="O6" s="2"/>
      <c r="P6" s="2"/>
    </row>
    <row r="7" spans="1:16" ht="26.1" customHeight="1">
      <c r="A7" s="2"/>
      <c r="B7" s="3" t="s">
        <v>20</v>
      </c>
      <c r="C7" s="3" t="s">
        <v>21</v>
      </c>
      <c r="D7" s="6">
        <v>6845200</v>
      </c>
      <c r="E7" s="3">
        <v>85</v>
      </c>
      <c r="F7" s="3">
        <v>2</v>
      </c>
      <c r="G7" s="7"/>
      <c r="H7" s="5"/>
      <c r="I7" s="5"/>
      <c r="J7" s="2"/>
      <c r="K7" s="2"/>
      <c r="L7" s="2"/>
      <c r="M7" s="2"/>
      <c r="N7" s="2"/>
      <c r="O7" s="2"/>
      <c r="P7" s="2"/>
    </row>
    <row r="8" spans="1:16" ht="26.1" customHeight="1">
      <c r="A8" s="2"/>
      <c r="B8" s="3" t="s">
        <v>14</v>
      </c>
      <c r="C8" s="3" t="s">
        <v>22</v>
      </c>
      <c r="D8" s="6">
        <v>3330000</v>
      </c>
      <c r="E8" s="3">
        <v>88</v>
      </c>
      <c r="F8" s="3">
        <v>3</v>
      </c>
      <c r="G8" s="7"/>
      <c r="H8" s="5"/>
      <c r="I8" s="5"/>
      <c r="J8" s="2"/>
      <c r="K8" s="4" t="s">
        <v>3</v>
      </c>
      <c r="L8" s="3">
        <v>0</v>
      </c>
      <c r="M8" s="3">
        <v>60</v>
      </c>
      <c r="N8" s="3">
        <v>70</v>
      </c>
      <c r="O8" s="3">
        <v>80</v>
      </c>
      <c r="P8" s="3">
        <v>90</v>
      </c>
    </row>
    <row r="9" spans="1:16" ht="26.1" customHeight="1">
      <c r="A9" s="2"/>
      <c r="B9" s="3" t="s">
        <v>11</v>
      </c>
      <c r="C9" s="3" t="s">
        <v>23</v>
      </c>
      <c r="D9" s="6">
        <v>5123000</v>
      </c>
      <c r="E9" s="3">
        <v>75</v>
      </c>
      <c r="F9" s="3">
        <v>2</v>
      </c>
      <c r="G9" s="7"/>
      <c r="H9" s="5"/>
      <c r="I9" s="5"/>
      <c r="J9" s="2"/>
      <c r="K9" s="4" t="s">
        <v>6</v>
      </c>
      <c r="L9" s="3" t="s">
        <v>24</v>
      </c>
      <c r="M9" s="3" t="s">
        <v>19</v>
      </c>
      <c r="N9" s="3" t="s">
        <v>16</v>
      </c>
      <c r="O9" s="3" t="s">
        <v>13</v>
      </c>
      <c r="P9" s="3" t="s">
        <v>10</v>
      </c>
    </row>
    <row r="10" spans="1:16" ht="26.1" customHeight="1">
      <c r="A10" s="2"/>
      <c r="B10" s="3" t="s">
        <v>25</v>
      </c>
      <c r="C10" s="3" t="s">
        <v>26</v>
      </c>
      <c r="D10" s="6">
        <v>3384500</v>
      </c>
      <c r="E10" s="3">
        <v>76</v>
      </c>
      <c r="F10" s="3">
        <v>4</v>
      </c>
      <c r="G10" s="7"/>
      <c r="H10" s="5"/>
      <c r="I10" s="5"/>
      <c r="J10" s="2"/>
      <c r="K10" s="2"/>
      <c r="L10" s="2"/>
      <c r="M10" s="2"/>
      <c r="N10" s="2"/>
      <c r="O10" s="2"/>
      <c r="P10" s="2"/>
    </row>
    <row r="11" spans="1:16" ht="26.1" customHeight="1">
      <c r="A11" s="2"/>
      <c r="B11" s="3" t="s">
        <v>27</v>
      </c>
      <c r="C11" s="3" t="s">
        <v>28</v>
      </c>
      <c r="D11" s="6">
        <v>7451200</v>
      </c>
      <c r="E11" s="3">
        <v>88</v>
      </c>
      <c r="F11" s="3">
        <v>1</v>
      </c>
      <c r="G11" s="7"/>
      <c r="H11" s="5"/>
      <c r="I11" s="5"/>
      <c r="J11" s="2"/>
      <c r="K11" s="15" t="s">
        <v>129</v>
      </c>
      <c r="L11" s="15"/>
      <c r="M11" s="15"/>
      <c r="N11" s="2"/>
      <c r="O11" s="2"/>
      <c r="P11" s="2"/>
    </row>
    <row r="12" spans="1:16" ht="26.1" customHeight="1">
      <c r="A12" s="2"/>
      <c r="B12" s="3" t="s">
        <v>29</v>
      </c>
      <c r="C12" s="3" t="s">
        <v>30</v>
      </c>
      <c r="D12" s="6">
        <v>9542100</v>
      </c>
      <c r="E12" s="3">
        <v>80</v>
      </c>
      <c r="F12" s="3">
        <v>2</v>
      </c>
      <c r="G12" s="7"/>
      <c r="H12" s="5"/>
      <c r="I12" s="5"/>
      <c r="J12" s="2"/>
      <c r="K12" s="16" t="s">
        <v>31</v>
      </c>
      <c r="L12" s="16"/>
      <c r="M12" s="5"/>
      <c r="N12" s="2"/>
      <c r="O12" s="2"/>
      <c r="P12" s="2"/>
    </row>
    <row r="13" spans="1:16" ht="26.1" customHeight="1">
      <c r="A13" s="2"/>
      <c r="B13" s="3" t="s">
        <v>20</v>
      </c>
      <c r="C13" s="3" t="s">
        <v>32</v>
      </c>
      <c r="D13" s="6">
        <v>6345600</v>
      </c>
      <c r="E13" s="3">
        <v>95</v>
      </c>
      <c r="F13" s="3">
        <v>2</v>
      </c>
      <c r="G13" s="7"/>
      <c r="H13" s="5"/>
      <c r="I13" s="5"/>
      <c r="J13" s="2"/>
      <c r="K13" s="16" t="s">
        <v>33</v>
      </c>
      <c r="L13" s="16"/>
      <c r="M13" s="5"/>
      <c r="N13" s="2"/>
      <c r="O13" s="2"/>
      <c r="P13" s="2"/>
    </row>
    <row r="14" spans="1:16" ht="26.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6.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6.1" customHeight="1">
      <c r="A16" s="2"/>
      <c r="B16" s="17" t="s">
        <v>34</v>
      </c>
      <c r="C16" s="17"/>
      <c r="D16" s="17"/>
      <c r="E16" s="17"/>
      <c r="F16" s="2"/>
      <c r="G16" s="17" t="s">
        <v>35</v>
      </c>
      <c r="H16" s="17"/>
      <c r="I16" s="2"/>
      <c r="J16" s="2"/>
      <c r="K16" s="2"/>
      <c r="L16" s="2"/>
      <c r="M16" s="2"/>
      <c r="N16" s="2"/>
      <c r="O16" s="2"/>
      <c r="P16" s="2"/>
    </row>
    <row r="17" spans="1:16" ht="56" customHeight="1">
      <c r="A17" s="2"/>
      <c r="B17" s="4" t="s">
        <v>36</v>
      </c>
      <c r="C17" s="4" t="s">
        <v>6</v>
      </c>
      <c r="D17" s="4" t="s">
        <v>37</v>
      </c>
      <c r="E17" s="23" t="inlineStr">
        <is>
          <t xml:space="preserve">월간 판매액 (원)
(INDEX, MATCH 사용)</t>
        </is>
      </c>
      <c r="F17" s="2"/>
      <c r="G17" s="4" t="s">
        <v>6</v>
      </c>
      <c r="H17" s="4" t="s">
        <v>39</v>
      </c>
      <c r="I17" s="2"/>
      <c r="J17" s="2"/>
      <c r="K17" s="2"/>
      <c r="L17" s="2"/>
      <c r="M17" s="2"/>
      <c r="N17" s="2"/>
      <c r="O17" s="2"/>
      <c r="P17" s="2"/>
    </row>
    <row r="18" spans="1:16" ht="26.1" customHeight="1">
      <c r="A18" s="2"/>
      <c r="B18" s="3" t="s">
        <v>40</v>
      </c>
      <c r="C18" s="3" t="s">
        <v>41</v>
      </c>
      <c r="D18" s="3">
        <v>200</v>
      </c>
      <c r="E18" s="7"/>
      <c r="F18" s="2"/>
      <c r="G18" s="3" t="s">
        <v>41</v>
      </c>
      <c r="H18" s="6">
        <v>58600</v>
      </c>
      <c r="I18" s="2"/>
      <c r="J18" s="2"/>
      <c r="K18" s="2"/>
      <c r="L18" s="2"/>
      <c r="M18" s="2"/>
      <c r="N18" s="2"/>
      <c r="O18" s="2"/>
      <c r="P18" s="2"/>
    </row>
    <row r="19" spans="1:16" ht="26.1" customHeight="1">
      <c r="A19" s="2"/>
      <c r="B19" s="3" t="s">
        <v>42</v>
      </c>
      <c r="C19" s="3" t="s">
        <v>43</v>
      </c>
      <c r="D19" s="3">
        <v>310</v>
      </c>
      <c r="E19" s="7"/>
      <c r="F19" s="2"/>
      <c r="G19" s="3" t="s">
        <v>43</v>
      </c>
      <c r="H19" s="6">
        <v>51200</v>
      </c>
      <c r="I19" s="2"/>
      <c r="J19" s="2"/>
      <c r="K19" s="2"/>
      <c r="L19" s="2"/>
      <c r="M19" s="2"/>
      <c r="N19" s="2"/>
      <c r="O19" s="2"/>
      <c r="P19" s="2"/>
    </row>
    <row r="20" spans="1:16" ht="26.1" customHeight="1">
      <c r="A20" s="2"/>
      <c r="B20" s="3" t="s">
        <v>44</v>
      </c>
      <c r="C20" s="3" t="s">
        <v>45</v>
      </c>
      <c r="D20" s="3">
        <v>250</v>
      </c>
      <c r="E20" s="7"/>
      <c r="F20" s="2"/>
      <c r="G20" s="3" t="s">
        <v>45</v>
      </c>
      <c r="H20" s="6">
        <v>45600</v>
      </c>
      <c r="I20" s="2"/>
      <c r="J20" s="2"/>
      <c r="K20" s="2"/>
      <c r="L20" s="2"/>
      <c r="M20" s="2"/>
      <c r="N20" s="2"/>
      <c r="O20" s="2"/>
      <c r="P20" s="2"/>
    </row>
    <row r="21" spans="1:16" ht="26.1" customHeight="1">
      <c r="A21" s="2"/>
      <c r="B21" s="3" t="s">
        <v>46</v>
      </c>
      <c r="C21" s="3" t="s">
        <v>47</v>
      </c>
      <c r="D21" s="3">
        <v>180</v>
      </c>
      <c r="E21" s="7"/>
      <c r="F21" s="2"/>
      <c r="G21" s="3" t="s">
        <v>47</v>
      </c>
      <c r="H21" s="6">
        <v>39200</v>
      </c>
      <c r="I21" s="2"/>
      <c r="J21" s="2"/>
      <c r="K21" s="2"/>
      <c r="L21" s="2"/>
      <c r="M21" s="2"/>
      <c r="N21" s="2"/>
      <c r="O21" s="2"/>
      <c r="P21" s="2"/>
    </row>
    <row r="22" spans="1:16" ht="26.1" customHeight="1">
      <c r="A22" s="2"/>
      <c r="B22" s="3" t="s">
        <v>48</v>
      </c>
      <c r="C22" s="3" t="s">
        <v>49</v>
      </c>
      <c r="D22" s="3">
        <v>220</v>
      </c>
      <c r="E22" s="7"/>
      <c r="F22" s="2"/>
      <c r="G22" s="3" t="s">
        <v>49</v>
      </c>
      <c r="H22" s="6">
        <v>41300</v>
      </c>
      <c r="I22" s="2"/>
      <c r="J22" s="2"/>
      <c r="K22" s="2"/>
      <c r="L22" s="2"/>
      <c r="M22" s="2"/>
      <c r="N22" s="2"/>
      <c r="O22" s="2"/>
      <c r="P22" s="2"/>
    </row>
    <row r="23" spans="1:16" ht="26.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56" customHeight="1">
      <c r="A24" s="2"/>
      <c r="B24" s="24" t="inlineStr">
        <is>
          <t xml:space="preserve">3월 판매량이 가장 많은 지점 (INDEX, MATCH, LARGE 함수 사용)</t>
        </is>
      </c>
      <c r="C24" s="16"/>
      <c r="D24" s="16"/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6.1" customHeight="1">
      <c r="A25" s="2"/>
      <c r="B25" s="18"/>
      <c r="C25" s="18"/>
      <c r="D25" s="18"/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6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6.1" customHeight="1">
      <c r="A28" s="2"/>
      <c r="B28" s="25" t="inlineStr">
        <is>
          <t xml:space="preserve">각 문제에 지정된 함수를 사용하세요. 단가·등급·비고는 3~13행, 월간 판매액은 18~22행에 입력하세요.</t>
        </is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ht="26.1" customHeight="1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6.1" customHeight="1">
      <c r="A30" s="2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26.1" customHeight="1">
      <c r="A31" s="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mergeCells count="10">
    <mergeCell ref="B24:E24"/>
    <mergeCell ref="B25:E25"/>
    <mergeCell ref="B28:P28"/>
    <mergeCell ref="B30:P30"/>
    <mergeCell ref="B31:P31"/>
    <mergeCell ref="K11:M11"/>
    <mergeCell ref="K12:L12"/>
    <mergeCell ref="K13:L13"/>
    <mergeCell ref="B16:E16"/>
    <mergeCell ref="G16:H16"/>
  </mergeCells>
  <phoneticPr fontId="6" type="noConversion"/>
  <pageMargins left="0.7" right="0.7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6491"/>
    <pageSetUpPr fitToPage="1"/>
  </sheetPr>
  <dimension ref="A1:P35"/>
  <sheetViews>
    <sheetView zoomScale="80" zoomScaleNormal="80" workbookViewId="0">
      <pane ySplit="2" topLeftCell="A3" activePane="bottomLeft" state="frozen"/>
      <selection pane="bottomLeft" activeCell="K11" sqref="K11:M11"/>
    </sheetView>
  </sheetViews>
  <sheetFormatPr defaultRowHeight="14.25"/>
  <cols>
    <col min="1" max="1" width="3" customWidth="1"/>
    <col min="2" max="3" width="15" customWidth="1"/>
    <col min="4" max="5" width="17" customWidth="1"/>
    <col min="6" max="9" width="12" customWidth="1"/>
    <col min="10" max="10" width="3" customWidth="1"/>
    <col min="11" max="11" width="20" customWidth="1"/>
    <col min="12" max="16" width="12" customWidth="1"/>
  </cols>
  <sheetData>
    <row r="1" spans="1:16" ht="26.1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56" customHeight="1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23" t="inlineStr">
        <is>
          <t xml:space="preserve">단가
(VLOOKUP, LEFT 사용)</t>
        </is>
      </c>
      <c r="H2" s="23" t="inlineStr">
        <is>
          <t xml:space="preserve">등급
(HLOOKUP 사용)</t>
        </is>
      </c>
      <c r="I2" s="23" t="inlineStr">
        <is>
          <t xml:space="preserve">비고
(CHOOSE, RIGHT 사용)</t>
        </is>
      </c>
      <c r="J2" s="2"/>
      <c r="K2" s="4" t="s">
        <v>0</v>
      </c>
      <c r="L2" s="4" t="s">
        <v>5</v>
      </c>
      <c r="M2" s="2"/>
      <c r="N2" s="2"/>
      <c r="O2" s="2"/>
      <c r="P2" s="2"/>
    </row>
    <row r="3" spans="1:16" ht="26.1" customHeight="1">
      <c r="A3" s="2"/>
      <c r="B3" s="3" t="s">
        <v>8</v>
      </c>
      <c r="C3" s="3" t="s">
        <v>9</v>
      </c>
      <c r="D3" s="6">
        <v>1110000</v>
      </c>
      <c r="E3" s="3">
        <v>90</v>
      </c>
      <c r="F3" s="3">
        <v>1</v>
      </c>
      <c r="G3" s="10">
        <f t="shared" ref="G3:G13" si="0">VLOOKUP(LEFT(B3,1),$K$3:$L$6,2,0)</f>
        <v>10000</v>
      </c>
      <c r="H3" s="9" t="str">
        <f t="shared" ref="H3:H13" si="1">HLOOKUP(E3,$L$8:$P$9,2,1)</f>
        <v>A</v>
      </c>
      <c r="I3" s="9" t="str">
        <f t="shared" ref="I3:I13" si="2">CHOOSE(RIGHT(B3,1),"슈퍼","골드","실버","브론즈")</f>
        <v>슈퍼</v>
      </c>
      <c r="J3" s="2"/>
      <c r="K3" s="3" t="s">
        <v>10</v>
      </c>
      <c r="L3" s="6">
        <v>10000</v>
      </c>
      <c r="M3" s="2"/>
      <c r="N3" s="2"/>
      <c r="O3" s="2"/>
      <c r="P3" s="2"/>
    </row>
    <row r="4" spans="1:16" ht="26.1" customHeight="1">
      <c r="A4" s="2"/>
      <c r="B4" s="3" t="s">
        <v>11</v>
      </c>
      <c r="C4" s="3" t="s">
        <v>12</v>
      </c>
      <c r="D4" s="6">
        <v>2215200</v>
      </c>
      <c r="E4" s="3">
        <v>80</v>
      </c>
      <c r="F4" s="3">
        <v>3</v>
      </c>
      <c r="G4" s="10">
        <f t="shared" si="0"/>
        <v>10000</v>
      </c>
      <c r="H4" s="9" t="str">
        <f t="shared" si="1"/>
        <v>B</v>
      </c>
      <c r="I4" s="9" t="str">
        <f t="shared" si="2"/>
        <v>골드</v>
      </c>
      <c r="J4" s="2"/>
      <c r="K4" s="3" t="s">
        <v>13</v>
      </c>
      <c r="L4" s="6">
        <v>15000</v>
      </c>
      <c r="M4" s="2"/>
      <c r="N4" s="2"/>
      <c r="O4" s="2"/>
      <c r="P4" s="2"/>
    </row>
    <row r="5" spans="1:16" ht="26.1" customHeight="1">
      <c r="A5" s="2"/>
      <c r="B5" s="3" t="s">
        <v>14</v>
      </c>
      <c r="C5" s="3" t="s">
        <v>15</v>
      </c>
      <c r="D5" s="6">
        <v>4440000</v>
      </c>
      <c r="E5" s="3">
        <v>70</v>
      </c>
      <c r="F5" s="3">
        <v>2</v>
      </c>
      <c r="G5" s="10">
        <f t="shared" si="0"/>
        <v>20000</v>
      </c>
      <c r="H5" s="9" t="str">
        <f t="shared" si="1"/>
        <v>C</v>
      </c>
      <c r="I5" s="9" t="str">
        <f t="shared" si="2"/>
        <v>슈퍼</v>
      </c>
      <c r="J5" s="2"/>
      <c r="K5" s="3" t="s">
        <v>16</v>
      </c>
      <c r="L5" s="6">
        <v>20000</v>
      </c>
      <c r="M5" s="2"/>
      <c r="N5" s="2"/>
      <c r="O5" s="2"/>
      <c r="P5" s="2"/>
    </row>
    <row r="6" spans="1:16" ht="26.1" customHeight="1">
      <c r="A6" s="2"/>
      <c r="B6" s="3" t="s">
        <v>17</v>
      </c>
      <c r="C6" s="3" t="s">
        <v>18</v>
      </c>
      <c r="D6" s="6">
        <v>3332500</v>
      </c>
      <c r="E6" s="3">
        <v>99</v>
      </c>
      <c r="F6" s="3">
        <v>1</v>
      </c>
      <c r="G6" s="10">
        <f t="shared" si="0"/>
        <v>20000</v>
      </c>
      <c r="H6" s="9" t="str">
        <f t="shared" si="1"/>
        <v>A</v>
      </c>
      <c r="I6" s="9" t="str">
        <f t="shared" si="2"/>
        <v>골드</v>
      </c>
      <c r="J6" s="2"/>
      <c r="K6" s="3" t="s">
        <v>19</v>
      </c>
      <c r="L6" s="6">
        <v>25000</v>
      </c>
      <c r="M6" s="2"/>
      <c r="N6" s="2"/>
      <c r="O6" s="2"/>
      <c r="P6" s="2"/>
    </row>
    <row r="7" spans="1:16" ht="26.1" customHeight="1">
      <c r="A7" s="2"/>
      <c r="B7" s="3" t="s">
        <v>20</v>
      </c>
      <c r="C7" s="3" t="s">
        <v>21</v>
      </c>
      <c r="D7" s="6">
        <v>6845200</v>
      </c>
      <c r="E7" s="3">
        <v>85</v>
      </c>
      <c r="F7" s="3">
        <v>2</v>
      </c>
      <c r="G7" s="10">
        <f t="shared" si="0"/>
        <v>15000</v>
      </c>
      <c r="H7" s="9" t="str">
        <f t="shared" si="1"/>
        <v>B</v>
      </c>
      <c r="I7" s="9" t="str">
        <f t="shared" si="2"/>
        <v>실버</v>
      </c>
      <c r="J7" s="2"/>
      <c r="K7" s="2"/>
      <c r="L7" s="2"/>
      <c r="M7" s="2"/>
      <c r="N7" s="2"/>
      <c r="O7" s="2"/>
      <c r="P7" s="2"/>
    </row>
    <row r="8" spans="1:16" ht="26.1" customHeight="1">
      <c r="A8" s="2"/>
      <c r="B8" s="3" t="s">
        <v>14</v>
      </c>
      <c r="C8" s="3" t="s">
        <v>22</v>
      </c>
      <c r="D8" s="6">
        <v>3330000</v>
      </c>
      <c r="E8" s="3">
        <v>88</v>
      </c>
      <c r="F8" s="3">
        <v>3</v>
      </c>
      <c r="G8" s="10">
        <f t="shared" si="0"/>
        <v>20000</v>
      </c>
      <c r="H8" s="9" t="str">
        <f t="shared" si="1"/>
        <v>B</v>
      </c>
      <c r="I8" s="9" t="str">
        <f t="shared" si="2"/>
        <v>슈퍼</v>
      </c>
      <c r="J8" s="2"/>
      <c r="K8" s="4" t="s">
        <v>3</v>
      </c>
      <c r="L8" s="3">
        <v>0</v>
      </c>
      <c r="M8" s="3">
        <v>60</v>
      </c>
      <c r="N8" s="3">
        <v>70</v>
      </c>
      <c r="O8" s="3">
        <v>80</v>
      </c>
      <c r="P8" s="3">
        <v>90</v>
      </c>
    </row>
    <row r="9" spans="1:16" ht="26.1" customHeight="1">
      <c r="A9" s="2"/>
      <c r="B9" s="3" t="s">
        <v>11</v>
      </c>
      <c r="C9" s="3" t="s">
        <v>23</v>
      </c>
      <c r="D9" s="6">
        <v>5123000</v>
      </c>
      <c r="E9" s="3">
        <v>75</v>
      </c>
      <c r="F9" s="3">
        <v>2</v>
      </c>
      <c r="G9" s="10">
        <f t="shared" si="0"/>
        <v>10000</v>
      </c>
      <c r="H9" s="9" t="str">
        <f t="shared" si="1"/>
        <v>C</v>
      </c>
      <c r="I9" s="9" t="str">
        <f t="shared" si="2"/>
        <v>골드</v>
      </c>
      <c r="J9" s="2"/>
      <c r="K9" s="4" t="s">
        <v>6</v>
      </c>
      <c r="L9" s="3" t="s">
        <v>24</v>
      </c>
      <c r="M9" s="3" t="s">
        <v>19</v>
      </c>
      <c r="N9" s="3" t="s">
        <v>16</v>
      </c>
      <c r="O9" s="3" t="s">
        <v>13</v>
      </c>
      <c r="P9" s="3" t="s">
        <v>10</v>
      </c>
    </row>
    <row r="10" spans="1:16" ht="26.1" customHeight="1">
      <c r="A10" s="2"/>
      <c r="B10" s="3" t="s">
        <v>25</v>
      </c>
      <c r="C10" s="3" t="s">
        <v>26</v>
      </c>
      <c r="D10" s="6">
        <v>3384500</v>
      </c>
      <c r="E10" s="3">
        <v>76</v>
      </c>
      <c r="F10" s="3">
        <v>4</v>
      </c>
      <c r="G10" s="10">
        <f t="shared" si="0"/>
        <v>25000</v>
      </c>
      <c r="H10" s="9" t="str">
        <f t="shared" si="1"/>
        <v>C</v>
      </c>
      <c r="I10" s="9" t="str">
        <f t="shared" si="2"/>
        <v>슈퍼</v>
      </c>
      <c r="J10" s="2"/>
      <c r="K10" s="2"/>
      <c r="L10" s="2"/>
      <c r="M10" s="2"/>
      <c r="N10" s="2"/>
      <c r="O10" s="2"/>
      <c r="P10" s="2"/>
    </row>
    <row r="11" spans="1:16" ht="26.1" customHeight="1">
      <c r="A11" s="2"/>
      <c r="B11" s="3" t="s">
        <v>27</v>
      </c>
      <c r="C11" s="3" t="s">
        <v>28</v>
      </c>
      <c r="D11" s="6">
        <v>7451200</v>
      </c>
      <c r="E11" s="3">
        <v>88</v>
      </c>
      <c r="F11" s="3">
        <v>1</v>
      </c>
      <c r="G11" s="10">
        <f t="shared" si="0"/>
        <v>25000</v>
      </c>
      <c r="H11" s="9" t="str">
        <f t="shared" si="1"/>
        <v>B</v>
      </c>
      <c r="I11" s="9" t="str">
        <f t="shared" si="2"/>
        <v>골드</v>
      </c>
      <c r="J11" s="2"/>
      <c r="K11" s="15" t="s">
        <v>129</v>
      </c>
      <c r="L11" s="15"/>
      <c r="M11" s="15"/>
      <c r="N11" s="2"/>
      <c r="O11" s="2"/>
      <c r="P11" s="2"/>
    </row>
    <row r="12" spans="1:16" ht="26.1" customHeight="1">
      <c r="A12" s="2"/>
      <c r="B12" s="3" t="s">
        <v>29</v>
      </c>
      <c r="C12" s="3" t="s">
        <v>30</v>
      </c>
      <c r="D12" s="6">
        <v>9542100</v>
      </c>
      <c r="E12" s="3">
        <v>80</v>
      </c>
      <c r="F12" s="3">
        <v>2</v>
      </c>
      <c r="G12" s="10">
        <f t="shared" si="0"/>
        <v>15000</v>
      </c>
      <c r="H12" s="9" t="str">
        <f t="shared" si="1"/>
        <v>B</v>
      </c>
      <c r="I12" s="9" t="str">
        <f t="shared" si="2"/>
        <v>슈퍼</v>
      </c>
      <c r="J12" s="2"/>
      <c r="K12" s="16" t="s">
        <v>31</v>
      </c>
      <c r="L12" s="16"/>
      <c r="M12" s="9">
        <f>SEARCH("a",K11)</f>
        <v>1</v>
      </c>
      <c r="N12" s="2"/>
      <c r="O12" s="2"/>
      <c r="P12" s="2"/>
    </row>
    <row r="13" spans="1:16" ht="26.1" customHeight="1">
      <c r="A13" s="2"/>
      <c r="B13" s="3" t="s">
        <v>20</v>
      </c>
      <c r="C13" s="3" t="s">
        <v>32</v>
      </c>
      <c r="D13" s="6">
        <v>6345600</v>
      </c>
      <c r="E13" s="3">
        <v>95</v>
      </c>
      <c r="F13" s="3">
        <v>2</v>
      </c>
      <c r="G13" s="10">
        <f t="shared" si="0"/>
        <v>15000</v>
      </c>
      <c r="H13" s="9" t="str">
        <f t="shared" si="1"/>
        <v>A</v>
      </c>
      <c r="I13" s="9" t="str">
        <f t="shared" si="2"/>
        <v>실버</v>
      </c>
      <c r="J13" s="2"/>
      <c r="K13" s="16" t="s">
        <v>33</v>
      </c>
      <c r="L13" s="16"/>
      <c r="M13" s="9">
        <f>FIND("a",K11)</f>
        <v>5</v>
      </c>
      <c r="N13" s="2"/>
      <c r="O13" s="2"/>
      <c r="P13" s="2"/>
    </row>
    <row r="14" spans="1:16" ht="26.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6.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26.1" customHeight="1">
      <c r="A16" s="2"/>
      <c r="B16" s="17" t="s">
        <v>34</v>
      </c>
      <c r="C16" s="17"/>
      <c r="D16" s="17"/>
      <c r="E16" s="17"/>
      <c r="F16" s="2"/>
      <c r="G16" s="17" t="s">
        <v>35</v>
      </c>
      <c r="H16" s="17"/>
      <c r="I16" s="2"/>
      <c r="J16" s="2"/>
      <c r="K16" s="2"/>
      <c r="L16" s="2"/>
      <c r="M16" s="2"/>
      <c r="N16" s="2"/>
      <c r="O16" s="2"/>
      <c r="P16" s="2"/>
    </row>
    <row r="17" spans="1:16" ht="56" customHeight="1">
      <c r="A17" s="2"/>
      <c r="B17" s="4" t="s">
        <v>36</v>
      </c>
      <c r="C17" s="4" t="s">
        <v>6</v>
      </c>
      <c r="D17" s="4" t="s">
        <v>37</v>
      </c>
      <c r="E17" s="23" t="inlineStr">
        <is>
          <t xml:space="preserve">월간 판매액 (원)
(INDEX, MATCH 사용)</t>
        </is>
      </c>
      <c r="F17" s="2"/>
      <c r="G17" s="4" t="s">
        <v>6</v>
      </c>
      <c r="H17" s="4" t="s">
        <v>39</v>
      </c>
      <c r="I17" s="2"/>
      <c r="J17" s="2"/>
      <c r="K17" s="2"/>
      <c r="L17" s="2"/>
      <c r="M17" s="2"/>
      <c r="N17" s="2"/>
      <c r="O17" s="2"/>
      <c r="P17" s="2"/>
    </row>
    <row r="18" spans="1:16" ht="26.1" customHeight="1">
      <c r="A18" s="2"/>
      <c r="B18" s="3" t="s">
        <v>40</v>
      </c>
      <c r="C18" s="3" t="s">
        <v>41</v>
      </c>
      <c r="D18" s="3">
        <v>200</v>
      </c>
      <c r="E18" s="10">
        <f>D18*INDEX($G$18:$H$22,MATCH(C18,$G$18:$G$22,0),2)</f>
        <v>11720000</v>
      </c>
      <c r="F18" s="2"/>
      <c r="G18" s="3" t="s">
        <v>41</v>
      </c>
      <c r="H18" s="6">
        <v>58600</v>
      </c>
      <c r="I18" s="2"/>
      <c r="J18" s="2"/>
      <c r="K18" s="2"/>
      <c r="L18" s="2"/>
      <c r="M18" s="2"/>
      <c r="N18" s="2"/>
      <c r="O18" s="2"/>
      <c r="P18" s="2"/>
    </row>
    <row r="19" spans="1:16" ht="26.1" customHeight="1">
      <c r="A19" s="2"/>
      <c r="B19" s="3" t="s">
        <v>42</v>
      </c>
      <c r="C19" s="3" t="s">
        <v>43</v>
      </c>
      <c r="D19" s="3">
        <v>310</v>
      </c>
      <c r="E19" s="10">
        <f>D19*INDEX($G$18:$H$22,MATCH(C19,$G$18:$G$22,0),2)</f>
        <v>15872000</v>
      </c>
      <c r="F19" s="2"/>
      <c r="G19" s="3" t="s">
        <v>43</v>
      </c>
      <c r="H19" s="6">
        <v>51200</v>
      </c>
      <c r="I19" s="2"/>
      <c r="J19" s="2"/>
      <c r="K19" s="2"/>
      <c r="L19" s="2"/>
      <c r="M19" s="2"/>
      <c r="N19" s="2"/>
      <c r="O19" s="2"/>
      <c r="P19" s="2"/>
    </row>
    <row r="20" spans="1:16" ht="26.1" customHeight="1">
      <c r="A20" s="2"/>
      <c r="B20" s="3" t="s">
        <v>44</v>
      </c>
      <c r="C20" s="3" t="s">
        <v>45</v>
      </c>
      <c r="D20" s="3">
        <v>250</v>
      </c>
      <c r="E20" s="10">
        <f>D20*INDEX($G$18:$H$22,MATCH(C20,$G$18:$G$22,0),2)</f>
        <v>11400000</v>
      </c>
      <c r="F20" s="2"/>
      <c r="G20" s="3" t="s">
        <v>45</v>
      </c>
      <c r="H20" s="6">
        <v>45600</v>
      </c>
      <c r="I20" s="2"/>
      <c r="J20" s="2"/>
      <c r="K20" s="2"/>
      <c r="L20" s="2"/>
      <c r="M20" s="2"/>
      <c r="N20" s="2"/>
      <c r="O20" s="2"/>
      <c r="P20" s="2"/>
    </row>
    <row r="21" spans="1:16" ht="26.1" customHeight="1">
      <c r="A21" s="2"/>
      <c r="B21" s="3" t="s">
        <v>46</v>
      </c>
      <c r="C21" s="3" t="s">
        <v>47</v>
      </c>
      <c r="D21" s="3">
        <v>180</v>
      </c>
      <c r="E21" s="10">
        <f>D21*INDEX($G$18:$H$22,MATCH(C21,$G$18:$G$22,0),2)</f>
        <v>7056000</v>
      </c>
      <c r="F21" s="2"/>
      <c r="G21" s="3" t="s">
        <v>47</v>
      </c>
      <c r="H21" s="6">
        <v>39200</v>
      </c>
      <c r="I21" s="2"/>
      <c r="J21" s="2"/>
      <c r="K21" s="2"/>
      <c r="L21" s="2"/>
      <c r="M21" s="2"/>
      <c r="N21" s="2"/>
      <c r="O21" s="2"/>
      <c r="P21" s="2"/>
    </row>
    <row r="22" spans="1:16" ht="26.1" customHeight="1">
      <c r="A22" s="2"/>
      <c r="B22" s="3" t="s">
        <v>48</v>
      </c>
      <c r="C22" s="3" t="s">
        <v>49</v>
      </c>
      <c r="D22" s="3">
        <v>220</v>
      </c>
      <c r="E22" s="10">
        <f>D22*INDEX($G$18:$H$22,MATCH(C22,$G$18:$G$22,0),2)</f>
        <v>9086000</v>
      </c>
      <c r="F22" s="2"/>
      <c r="G22" s="3" t="s">
        <v>49</v>
      </c>
      <c r="H22" s="6">
        <v>41300</v>
      </c>
      <c r="I22" s="2"/>
      <c r="J22" s="2"/>
      <c r="K22" s="2"/>
      <c r="L22" s="2"/>
      <c r="M22" s="2"/>
      <c r="N22" s="2"/>
      <c r="O22" s="2"/>
      <c r="P22" s="2"/>
    </row>
    <row r="23" spans="1:16" ht="26.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56" customHeight="1">
      <c r="A24" s="2"/>
      <c r="B24" s="24" t="inlineStr">
        <is>
          <t xml:space="preserve">3월 판매량이 가장 많은 지점 (INDEX, MATCH, LARGE 함수 사용)</t>
        </is>
      </c>
      <c r="C24" s="16"/>
      <c r="D24" s="16"/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26.1" customHeight="1">
      <c r="A25" s="2"/>
      <c r="B25" s="20" t="str">
        <f>INDEX(B18:E22,MATCH(LARGE(D18:D22,1),D18:D22,0),1)</f>
        <v>이천점</v>
      </c>
      <c r="C25" s="20"/>
      <c r="D25" s="20"/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26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26.1" customHeight="1">
      <c r="A28" s="2"/>
      <c r="B28" s="25" t="inlineStr">
        <is>
          <t xml:space="preserve">각 문제에 지정된 함수를 사용하세요. 단가·등급·비고는 3~13행, 월간 판매액은 18~22행에 입력하세요.</t>
        </is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ht="26.1" customHeight="1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6.1" customHeight="1">
      <c r="A30" s="2"/>
      <c r="B30" s="19" t="s">
        <v>51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26.1" customHeight="1">
      <c r="A31" s="2"/>
      <c r="B31" s="19" t="s">
        <v>52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mergeCells count="10">
    <mergeCell ref="B24:E24"/>
    <mergeCell ref="B25:E25"/>
    <mergeCell ref="B28:P28"/>
    <mergeCell ref="B30:P30"/>
    <mergeCell ref="B31:P31"/>
    <mergeCell ref="K11:M11"/>
    <mergeCell ref="K12:L12"/>
    <mergeCell ref="K13:L13"/>
    <mergeCell ref="B16:E16"/>
    <mergeCell ref="G16:H16"/>
  </mergeCells>
  <phoneticPr fontId="6" type="noConversion"/>
  <pageMargins left="0.7" right="0.7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showGridLines="0" workbookViewId="0"/>
  </sheetViews>
  <sheetFormatPr defaultRowHeight="14.25"/>
  <cols>
    <col min="1" max="1" width="6" customWidth="1"/>
    <col min="2" max="2" width="16" customWidth="1"/>
    <col min="3" max="3" width="65" customWidth="1"/>
    <col min="4" max="4" width="30" customWidth="1"/>
    <col min="5" max="5" width="25" customWidth="1"/>
  </cols>
  <sheetData>
    <row r="1" spans="1:5" ht="38.1" customHeight="1">
      <c r="A1" s="21" t="s">
        <v>54</v>
      </c>
      <c r="B1" s="22"/>
      <c r="C1" s="22"/>
      <c r="D1" s="22"/>
      <c r="E1" s="22"/>
    </row>
    <row r="2" spans="1:5" ht="38.1" customHeight="1">
      <c r="A2" s="1"/>
      <c r="B2" s="1"/>
      <c r="C2" s="1"/>
      <c r="D2" s="1"/>
      <c r="E2" s="1"/>
    </row>
    <row r="3" spans="1:5" ht="38.1" customHeight="1">
      <c r="A3" s="22" t="s">
        <v>55</v>
      </c>
      <c r="B3" s="22"/>
      <c r="C3" s="22"/>
      <c r="D3" s="22"/>
      <c r="E3" s="22"/>
    </row>
    <row r="4" spans="1:5" ht="38.1" customHeight="1">
      <c r="A4" s="1"/>
      <c r="B4" s="1"/>
      <c r="C4" s="1"/>
      <c r="D4" s="1"/>
      <c r="E4" s="1"/>
    </row>
    <row r="5" spans="1:5" ht="38.1" customHeight="1">
      <c r="A5" s="11" t="s">
        <v>56</v>
      </c>
      <c r="B5" s="11" t="s">
        <v>57</v>
      </c>
      <c r="C5" s="11" t="s">
        <v>58</v>
      </c>
      <c r="D5" s="26" t="inlineStr">
        <is>
          <t xml:space="preserve">사용할 함수·조건</t>
        </is>
      </c>
      <c r="E5" s="11" t="s">
        <v>60</v>
      </c>
    </row>
    <row r="6" spans="1:5" ht="57.95" customHeight="1">
      <c r="A6" s="1" t="s">
        <v>61</v>
      </c>
      <c r="B6" s="1" t="s">
        <v>62</v>
      </c>
      <c r="C6" s="27" t="inlineStr">
        <is>
          <t xml:space="preserve">VLOOKUP, LEFT 함수를 사용하여 제품코드 첫 글자로 단가를 구하세요.</t>
        </is>
      </c>
      <c r="D6" s="12" t="s">
        <v>64</v>
      </c>
      <c r="E6" s="1" t="s">
        <v>65</v>
      </c>
    </row>
    <row r="7" spans="1:5" ht="57.95" customHeight="1">
      <c r="A7" s="1" t="s">
        <v>66</v>
      </c>
      <c r="B7" s="1" t="s">
        <v>67</v>
      </c>
      <c r="C7" s="27" t="inlineStr">
        <is>
          <t xml:space="preserve">HLOOKUP 함수를 사용하여 점수에 따른 등급을 구하세요.</t>
        </is>
      </c>
      <c r="D7" s="12" t="s">
        <v>69</v>
      </c>
      <c r="E7" s="1" t="s">
        <v>70</v>
      </c>
    </row>
    <row r="8" spans="1:5" ht="57.95" customHeight="1">
      <c r="A8" s="1" t="s">
        <v>71</v>
      </c>
      <c r="B8" s="1" t="s">
        <v>72</v>
      </c>
      <c r="C8" s="27" t="inlineStr">
        <is>
          <t xml:space="preserve">CHOOSE, RIGHT 함수를 사용하여 제품코드 끝 숫자 1~4에 따라 슈퍼·골드·실버·브론즈를 표시하세요.</t>
        </is>
      </c>
      <c r="D8" s="12" t="s">
        <v>74</v>
      </c>
      <c r="E8" s="1" t="s">
        <v>75</v>
      </c>
    </row>
    <row r="9" spans="1:5" ht="57.95" customHeight="1">
      <c r="A9" s="1" t="s">
        <v>76</v>
      </c>
      <c r="B9" s="1" t="s">
        <v>77</v>
      </c>
      <c r="C9" s="27" t="inlineStr">
        <is>
          <t xml:space="preserve">SEARCH 함수를 사용하여 K11에서 소문자 a의 위치를 대소문자 구분 없이 구하세요.</t>
        </is>
      </c>
      <c r="D9" s="12" t="s">
        <v>79</v>
      </c>
      <c r="E9" s="1" t="s">
        <v>61</v>
      </c>
    </row>
    <row r="10" spans="1:5" ht="57.95" customHeight="1">
      <c r="A10" s="1" t="s">
        <v>80</v>
      </c>
      <c r="B10" s="1" t="s">
        <v>81</v>
      </c>
      <c r="C10" s="27" t="inlineStr">
        <is>
          <t xml:space="preserve">FIND 함수를 사용하여 K11에서 소문자 a의 위치를 대소문자를 구분하여 구하세요.</t>
        </is>
      </c>
      <c r="D10" s="12" t="s">
        <v>83</v>
      </c>
      <c r="E10" s="1" t="s">
        <v>80</v>
      </c>
    </row>
    <row r="11" spans="1:5" ht="57.95" customHeight="1">
      <c r="A11" s="1" t="s">
        <v>84</v>
      </c>
      <c r="B11" s="1" t="s">
        <v>85</v>
      </c>
      <c r="C11" s="27" t="inlineStr">
        <is>
          <t xml:space="preserve">INDEX, MATCH 함수를 사용하여 판매량 × 등급별 kg당 판매가로 월간 판매액을 구하세요.</t>
        </is>
      </c>
      <c r="D11" s="12" t="s">
        <v>87</v>
      </c>
      <c r="E11" s="1" t="s">
        <v>88</v>
      </c>
    </row>
    <row r="12" spans="1:5" ht="57.95" customHeight="1">
      <c r="A12" s="1" t="s">
        <v>89</v>
      </c>
      <c r="B12" s="1" t="s">
        <v>90</v>
      </c>
      <c r="C12" s="27" t="inlineStr">
        <is>
          <t xml:space="preserve">INDEX, MATCH, LARGE 함수를 사용하여 3월 판매량이 가장 많은 지점명을 구하세요.</t>
        </is>
      </c>
      <c r="D12" s="12" t="s">
        <v>92</v>
      </c>
      <c r="E12" s="1" t="s">
        <v>42</v>
      </c>
    </row>
    <row r="13" spans="1:5" ht="38.1" customHeight="1">
      <c r="A13" s="1"/>
      <c r="B13" s="1"/>
      <c r="C13" s="1"/>
      <c r="D13" s="1"/>
      <c r="E13" s="1"/>
    </row>
    <row r="14" spans="1:5" ht="38.1" customHeight="1">
      <c r="A14" s="1"/>
      <c r="B14" s="1"/>
      <c r="C14" s="1"/>
      <c r="D14" s="1"/>
      <c r="E14" s="1"/>
    </row>
    <row r="15" spans="1:5" ht="38.1" customHeight="1">
      <c r="A15" s="22" t="s">
        <v>93</v>
      </c>
      <c r="B15" s="22"/>
      <c r="C15" s="22"/>
      <c r="D15" s="22"/>
      <c r="E15" s="22"/>
    </row>
    <row r="16" spans="1:5" ht="38.1" customHeight="1">
      <c r="A16" s="22" t="s">
        <v>94</v>
      </c>
      <c r="B16" s="22"/>
      <c r="C16" s="22"/>
      <c r="D16" s="22"/>
      <c r="E16" s="22"/>
    </row>
    <row r="17" spans="1:5" ht="38.1" customHeight="1">
      <c r="A17" s="22" t="s">
        <v>95</v>
      </c>
      <c r="B17" s="22"/>
      <c r="C17" s="22"/>
      <c r="D17" s="22"/>
      <c r="E17" s="22"/>
    </row>
    <row r="18" spans="1:5" ht="38.1" customHeight="1">
      <c r="A18" s="22" t="s">
        <v>96</v>
      </c>
      <c r="B18" s="22"/>
      <c r="C18" s="22"/>
      <c r="D18" s="22"/>
      <c r="E18" s="22"/>
    </row>
    <row r="19" spans="1:5" ht="38.1" customHeight="1">
      <c r="A19" s="22" t="s">
        <v>128</v>
      </c>
      <c r="B19" s="22"/>
      <c r="C19" s="22"/>
      <c r="D19" s="22"/>
      <c r="E19" s="22"/>
    </row>
    <row r="20" spans="1:5" ht="38.1" customHeight="1">
      <c r="A20" s="22" t="s">
        <v>97</v>
      </c>
      <c r="B20" s="22"/>
      <c r="C20" s="22"/>
      <c r="D20" s="22"/>
      <c r="E20" s="22"/>
    </row>
    <row r="21" spans="1:5" ht="38.1" customHeight="1">
      <c r="A21" s="22" t="s">
        <v>98</v>
      </c>
      <c r="B21" s="22"/>
      <c r="C21" s="22"/>
      <c r="D21" s="22"/>
      <c r="E21" s="22"/>
    </row>
    <row r="22" spans="1:5" ht="38.1" customHeight="1">
      <c r="A22" s="22" t="s">
        <v>99</v>
      </c>
      <c r="B22" s="22"/>
      <c r="C22" s="22"/>
      <c r="D22" s="22"/>
      <c r="E22" s="22"/>
    </row>
    <row r="23" spans="1:5" ht="38.1" customHeight="1">
      <c r="A23" s="1"/>
      <c r="B23" s="1"/>
      <c r="C23" s="1"/>
      <c r="D23" s="1"/>
      <c r="E23" s="1"/>
    </row>
    <row r="24" spans="1:5" ht="38.1" customHeight="1">
      <c r="A24" s="1"/>
      <c r="B24" s="1"/>
      <c r="C24" s="1"/>
      <c r="D24" s="1"/>
      <c r="E24" s="1"/>
    </row>
    <row r="25" spans="1:5" ht="38.1" customHeight="1">
      <c r="A25" s="1"/>
      <c r="B25" s="1"/>
      <c r="C25" s="1"/>
      <c r="D25" s="1"/>
      <c r="E25" s="1"/>
    </row>
    <row r="26" spans="1:5" ht="38.1" customHeight="1">
      <c r="A26" s="1"/>
      <c r="B26" s="1"/>
      <c r="C26" s="1"/>
      <c r="D26" s="1"/>
      <c r="E26" s="1"/>
    </row>
    <row r="27" spans="1:5" ht="38.1" customHeight="1">
      <c r="A27" s="1"/>
      <c r="B27" s="1"/>
      <c r="C27" s="1"/>
      <c r="D27" s="1"/>
      <c r="E27" s="1"/>
    </row>
    <row r="28" spans="1:5" ht="38.1" customHeight="1">
      <c r="A28" s="1"/>
      <c r="B28" s="1"/>
      <c r="C28" s="1"/>
      <c r="D28" s="1"/>
      <c r="E28" s="1"/>
    </row>
  </sheetData>
  <mergeCells count="10">
    <mergeCell ref="A18:E18"/>
    <mergeCell ref="A19:E19"/>
    <mergeCell ref="A20:E20"/>
    <mergeCell ref="A21:E21"/>
    <mergeCell ref="A22:E22"/>
    <mergeCell ref="A1:E1"/>
    <mergeCell ref="A3:E3"/>
    <mergeCell ref="A15:E15"/>
    <mergeCell ref="A16:E16"/>
    <mergeCell ref="A17:E17"/>
  </mergeCells>
  <phoneticPr fontId="6" type="noConversion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zoomScale="70" zoomScaleNormal="70" workbookViewId="0">
      <selection sqref="A1:C1"/>
    </sheetView>
  </sheetViews>
  <sheetFormatPr defaultRowHeight="14.25"/>
  <cols>
    <col min="1" max="1" width="30" customWidth="1"/>
    <col min="2" max="2" width="75" customWidth="1"/>
    <col min="3" max="3" width="65" customWidth="1"/>
    <col min="4" max="5" width="22" customWidth="1"/>
  </cols>
  <sheetData>
    <row r="1" spans="1:5" ht="32.1" customHeight="1">
      <c r="A1" s="21" t="s">
        <v>100</v>
      </c>
      <c r="B1" s="21"/>
      <c r="C1" s="21"/>
      <c r="D1" s="1"/>
      <c r="E1" s="1"/>
    </row>
    <row r="2" spans="1:5" ht="32.1" customHeight="1">
      <c r="A2" s="1"/>
      <c r="B2" s="1"/>
      <c r="C2" s="1"/>
      <c r="D2" s="1"/>
      <c r="E2" s="1"/>
    </row>
    <row r="3" spans="1:5" ht="32.1" customHeight="1">
      <c r="A3" s="11" t="s">
        <v>101</v>
      </c>
      <c r="B3" s="11" t="s">
        <v>102</v>
      </c>
      <c r="C3" s="26" t="inlineStr">
        <is>
          <t xml:space="preserve">사용할 함수·조건</t>
        </is>
      </c>
      <c r="D3" s="1"/>
      <c r="E3" s="1"/>
    </row>
    <row r="4" spans="1:5" ht="32.1" customHeight="1">
      <c r="A4" s="1" t="s">
        <v>104</v>
      </c>
      <c r="B4" s="13"/>
      <c r="C4" s="1" t="s">
        <v>105</v>
      </c>
      <c r="D4" s="1"/>
      <c r="E4" s="1"/>
    </row>
    <row r="5" spans="1:5" ht="32.1" customHeight="1">
      <c r="A5" s="1" t="s">
        <v>106</v>
      </c>
      <c r="B5" s="13"/>
      <c r="C5" s="1" t="s">
        <v>107</v>
      </c>
      <c r="D5" s="1"/>
      <c r="E5" s="1"/>
    </row>
    <row r="6" spans="1:5" ht="32.1" customHeight="1">
      <c r="A6" s="1" t="s">
        <v>108</v>
      </c>
      <c r="B6" s="13"/>
      <c r="C6" s="1" t="s">
        <v>109</v>
      </c>
      <c r="D6" s="1"/>
      <c r="E6" s="1"/>
    </row>
    <row r="7" spans="1:5" ht="32.1" customHeight="1">
      <c r="A7" s="1" t="s">
        <v>110</v>
      </c>
      <c r="B7" s="13"/>
      <c r="C7" s="28" t="inlineStr">
        <is>
          <t xml:space="preserve">INDEX, MATCH, LARGE 함수를 사용하여 판매량이 두 번째로 많은 지점명을 구하세요.</t>
        </is>
      </c>
      <c r="D7" s="1"/>
      <c r="E7" s="1"/>
    </row>
    <row r="8" spans="1:5" ht="32.1" customHeight="1">
      <c r="A8" s="1" t="s">
        <v>112</v>
      </c>
      <c r="B8" s="13"/>
      <c r="C8" s="1" t="s">
        <v>113</v>
      </c>
      <c r="D8" s="1"/>
      <c r="E8" s="1"/>
    </row>
    <row r="9" spans="1:5" ht="32.1" customHeight="1">
      <c r="A9" s="1"/>
      <c r="B9" s="1"/>
      <c r="C9" s="1"/>
      <c r="D9" s="1"/>
      <c r="E9" s="1"/>
    </row>
    <row r="10" spans="1:5" ht="32.1" customHeight="1">
      <c r="A10" s="1"/>
      <c r="B10" s="1"/>
      <c r="C10" s="1"/>
      <c r="D10" s="1"/>
      <c r="E10" s="1"/>
    </row>
    <row r="11" spans="1:5" ht="32.1" customHeight="1">
      <c r="A11" s="11" t="s">
        <v>114</v>
      </c>
      <c r="B11" s="11" t="s">
        <v>115</v>
      </c>
      <c r="C11" s="11" t="s">
        <v>116</v>
      </c>
      <c r="D11" s="1"/>
      <c r="E11" s="1"/>
    </row>
    <row r="12" spans="1:5" ht="60" customHeight="1">
      <c r="A12" s="1" t="s">
        <v>117</v>
      </c>
      <c r="B12" s="12" t="s">
        <v>118</v>
      </c>
      <c r="C12" s="1" t="str">
        <f>HLOOKUP(79,찾기참조_실습!$L$8:$P$9,2,1)</f>
        <v>C</v>
      </c>
      <c r="D12" s="1"/>
      <c r="E12" s="1"/>
    </row>
    <row r="13" spans="1:5" ht="60" customHeight="1">
      <c r="A13" s="1" t="s">
        <v>119</v>
      </c>
      <c r="B13" s="12" t="s">
        <v>120</v>
      </c>
      <c r="C13" s="14">
        <f>VLOOKUP(LEFT("D-4",1),찾기참조_실습!$K$3:$L$6,2,0)</f>
        <v>25000</v>
      </c>
      <c r="D13" s="1"/>
      <c r="E13" s="1"/>
    </row>
    <row r="14" spans="1:5" ht="60" customHeight="1">
      <c r="A14" s="1" t="s">
        <v>121</v>
      </c>
      <c r="B14" s="12" t="s">
        <v>122</v>
      </c>
      <c r="C14" s="1" t="str">
        <f>CHOOSE(RIGHT("D-4",1),"슈퍼","골드","실버","브론즈")</f>
        <v>브론즈</v>
      </c>
      <c r="D14" s="1"/>
      <c r="E14" s="1"/>
    </row>
    <row r="15" spans="1:5" ht="60" customHeight="1">
      <c r="A15" s="1" t="s">
        <v>123</v>
      </c>
      <c r="B15" s="12" t="s">
        <v>124</v>
      </c>
      <c r="C15" s="1" t="str">
        <f>INDEX(찾기참조_실습!B18:B22,MATCH(LARGE(찾기참조_실습!D18:D22,2),찾기참조_실습!D18:D22,0))</f>
        <v>보령점</v>
      </c>
      <c r="D15" s="1"/>
      <c r="E15" s="1"/>
    </row>
    <row r="16" spans="1:5" ht="60" customHeight="1">
      <c r="A16" s="1" t="s">
        <v>125</v>
      </c>
      <c r="B16" s="12" t="s">
        <v>126</v>
      </c>
      <c r="C16" s="1" t="str">
        <f>HLOOKUP(60,찾기참조_실습!$L$8:$P$9,2,1)</f>
        <v>D</v>
      </c>
      <c r="D16" s="1"/>
      <c r="E16" s="1"/>
    </row>
    <row r="17" spans="1:5" ht="32.1" customHeight="1">
      <c r="A17" s="1"/>
      <c r="B17" s="1"/>
      <c r="C17" s="1"/>
      <c r="D17" s="1"/>
      <c r="E17" s="1"/>
    </row>
    <row r="18" spans="1:5" ht="32.1" customHeight="1">
      <c r="A18" s="1"/>
      <c r="B18" s="1"/>
      <c r="C18" s="1"/>
      <c r="D18" s="1"/>
      <c r="E18" s="1"/>
    </row>
    <row r="19" spans="1:5" ht="32.1" customHeight="1">
      <c r="A19" s="22" t="s">
        <v>127</v>
      </c>
      <c r="B19" s="22"/>
      <c r="C19" s="22"/>
      <c r="D19" s="1"/>
      <c r="E19" s="1"/>
    </row>
    <row r="20" spans="1:5" ht="32.1" customHeight="1">
      <c r="A20" s="1"/>
      <c r="B20" s="1"/>
      <c r="C20" s="1"/>
      <c r="D20" s="1"/>
      <c r="E20" s="1"/>
    </row>
    <row r="21" spans="1:5" ht="32.1" customHeight="1">
      <c r="A21" s="1"/>
      <c r="B21" s="1"/>
      <c r="C21" s="1"/>
      <c r="D21" s="1"/>
      <c r="E21" s="1"/>
    </row>
    <row r="22" spans="1:5" ht="32.1" customHeight="1">
      <c r="A22" s="1"/>
      <c r="B22" s="1"/>
      <c r="C22" s="1"/>
      <c r="D22" s="1"/>
      <c r="E22" s="1"/>
    </row>
    <row r="23" spans="1:5" ht="32.1" customHeight="1">
      <c r="A23" s="1"/>
      <c r="B23" s="1"/>
      <c r="C23" s="1"/>
      <c r="D23" s="1"/>
      <c r="E23" s="1"/>
    </row>
  </sheetData>
  <mergeCells count="2">
    <mergeCell ref="A19:C19"/>
    <mergeCell ref="A1:C1"/>
  </mergeCells>
  <phoneticPr fontId="6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찾기참조_실습</vt:lpstr>
      <vt:lpstr>찾기참조_정답</vt:lpstr>
      <vt:lpstr>문제와힌트</vt:lpstr>
      <vt:lpstr>추가연습</vt:lpstr>
      <vt:lpstr>문제와힌트!Print_Area</vt:lpstr>
      <vt:lpstr>찾기참조_실습!Print_Area</vt:lpstr>
      <vt:lpstr>찾기참조_정답!Print_Area</vt:lpstr>
      <vt:lpstr>추가연습!Print_Area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2026-10-07T06:07:20Z</dcterms:modified>
</cp:coreProperties>
</file>