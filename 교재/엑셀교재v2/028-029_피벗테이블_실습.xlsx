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FC06CAE6-3EFD-424B-8E5B-B7EDE20FC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사용안내" sheetId="1" r:id="rId1"/>
    <sheet name="피벗1_실습" sheetId="2" r:id="rId2"/>
    <sheet name="★서울자료" sheetId="6" r:id="rId3"/>
    <sheet name="피벗1_정답" sheetId="3" r:id="rId4"/>
    <sheet name="피벗2_실습" sheetId="4" r:id="rId5"/>
    <sheet name="피벗2_정답" sheetId="5" r:id="rId6"/>
  </sheets>
  <definedNames>
    <definedName name="_xlnm.Print_Area" localSheetId="3">피벗1_정답!$B$1:$H$32</definedName>
    <definedName name="_xlnm.Print_Area" localSheetId="5">피벗2_정답!$B$1:$F$28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5" l="1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<sst xmlns="http://schemas.openxmlformats.org/spreadsheetml/2006/main" count="330" uniqueCount="87">
  <si>
    <t>028 029 피벗 테이블 사용 안내</t>
  </si>
  <si>
    <t>피벗1_실습: 028페이지 합계·평균 피벗 테이블을 직접 만듭니다.</t>
  </si>
  <si>
    <t>피벗1_정답: 실제 Excel 피벗, 제품 필터, 빈 셀 표시와 레이아웃을 확인합니다.</t>
  </si>
  <si>
    <t>★서울자료: 서울의 에어컨 입고량을 실제 세부 정보 표시로 추출한 두 행입니다.</t>
  </si>
  <si>
    <t>피벗2_실습: 029페이지 최대값 피벗과 판매수량 그룹을 직접 만듭니다.</t>
  </si>
  <si>
    <t>피벗2_정답: 0~100, 25개 단위로 그룹화한 실제 Excel 피벗입니다.</t>
  </si>
  <si>
    <t>실습 시트 탭 우클릭 → 이동/복사 → 복사본 만들기를 체크하여 복사하세요.</t>
  </si>
  <si>
    <t>피벗 만들기: B3:H18 선택 → 삽입 → 피벗 테이블 → 기존 워크시트.</t>
  </si>
  <si>
    <t>028 위치 B23 / 029 위치 B21. 원본 제목 1행은 선택하지 않습니다.</t>
  </si>
  <si>
    <t>028 필터 담당자 / 행 지역 / 열 제품명 / 값 입고량 합계, 판매수량 평균.</t>
  </si>
  <si>
    <t>028 피벗 옵션: 빈 셀 ** / 레이블 병합 및 가운데 맞춤 / 행 총합계 해제.</t>
  </si>
  <si>
    <t>028 공기청정기·에어컨만 남기고 서울 에어컨 입고량 110을 더블 클릭합니다.</t>
  </si>
  <si>
    <t>029 행 판매수량 / 열 제품명 / 값 입고량 최대값.</t>
  </si>
  <si>
    <t>029 판매수량 값 우클릭 → 그룹 → 시작 0, 끝 100, 단위 25.</t>
  </si>
  <si>
    <t>029 디자인 → 보고서 레이아웃 → 테이블 형식 / 스타일 보통 12.</t>
  </si>
  <si>
    <t>값 필드 설정 → 표시 형식 → 숫자 → 소수 0, 천 단위 구분 기호를 사용합니다.</t>
  </si>
  <si>
    <t>원본 수정을 피벗에 반영하려면 피벗 안 우클릭 → 새로 고침.</t>
  </si>
  <si>
    <t>새로 추출한 세부 자료 시트는 당시 자료의 복사본이며 자동 갱신되지 않습니다.</t>
  </si>
  <si>
    <t>자료: 사진에 전체 원본 표가 없어 기존 교재 자료와 결과를 기준으로 재구성했습니다.</t>
  </si>
  <si>
    <t>피벗1 정답 입고량 합계: 공기청정기 428 / 에어컨 397.</t>
  </si>
  <si>
    <t>피벗2 정답 최대 입고량: LED-TV 95 / 공기청정기 95 / 에어컨 99.</t>
  </si>
  <si>
    <t>11월 제품 판매현황</t>
  </si>
  <si>
    <t>제품명</t>
  </si>
  <si>
    <t>지역</t>
  </si>
  <si>
    <t>담당자</t>
  </si>
  <si>
    <t>입고량</t>
  </si>
  <si>
    <t>판매단가</t>
  </si>
  <si>
    <t>판매수량</t>
  </si>
  <si>
    <t>매출액</t>
  </si>
  <si>
    <t>문제 028 피벗 테이블</t>
  </si>
  <si>
    <t>공기청정기</t>
  </si>
  <si>
    <t>인천</t>
  </si>
  <si>
    <t>신수미</t>
  </si>
  <si>
    <t>에어컨</t>
  </si>
  <si>
    <t>서울</t>
  </si>
  <si>
    <t>황고우</t>
  </si>
  <si>
    <t>원본 B3:H18 / 피벗 시작 B23</t>
  </si>
  <si>
    <t>강원</t>
  </si>
  <si>
    <t>홍민영</t>
  </si>
  <si>
    <t>필터 담당자 / 행 지역 / 열 제품명</t>
  </si>
  <si>
    <t>부산</t>
  </si>
  <si>
    <t>남지우</t>
  </si>
  <si>
    <t>값 입고량 합계와 판매수량 평균</t>
  </si>
  <si>
    <t>LED-TV</t>
  </si>
  <si>
    <t>광주</t>
  </si>
  <si>
    <t>김정일</t>
  </si>
  <si>
    <t>빈 셀 ** / 레이블 병합과 가운데 맞춤</t>
  </si>
  <si>
    <t>한경주</t>
  </si>
  <si>
    <t>보고서 레이아웃 개요 형식</t>
  </si>
  <si>
    <t>허영미</t>
  </si>
  <si>
    <t>행 총합계 해제 / 열 총합계 유지</t>
  </si>
  <si>
    <t>이재필</t>
  </si>
  <si>
    <t>공기청정기와 에어컨만 표시</t>
  </si>
  <si>
    <t>이민호</t>
  </si>
  <si>
    <t>서울·에어컨 입고량 숫자 더블 클릭</t>
  </si>
  <si>
    <t>대구</t>
  </si>
  <si>
    <t>조강철</t>
  </si>
  <si>
    <t>새 시트 이름 ★서울자료</t>
  </si>
  <si>
    <t>송영미</t>
  </si>
  <si>
    <t>고우리</t>
  </si>
  <si>
    <t>한수영</t>
  </si>
  <si>
    <t>자료: 촬영 노트 028~029페이지. 전체 원본 표가 없어 앞 교재 자료와 사진의 요약·세부 결과를 참고해 재구성했습니다.</t>
  </si>
  <si>
    <t>한우영</t>
  </si>
  <si>
    <t>김시은</t>
  </si>
  <si>
    <t>12월 제품 판매현황</t>
  </si>
  <si>
    <t>문제 029 숫자 그룹</t>
  </si>
  <si>
    <t>이승민</t>
  </si>
  <si>
    <t>원본 B3:H18 / 피벗 시작 B21</t>
  </si>
  <si>
    <t>행 판매수량 / 열 제품명</t>
  </si>
  <si>
    <t>값 입고량 최대값</t>
  </si>
  <si>
    <t>보고서 레이아웃 테이블 형식</t>
  </si>
  <si>
    <t>판매수량 그룹 시작 0 / 끝 100 / 단위 25</t>
  </si>
  <si>
    <t>스타일 PivotStyleMedium12</t>
  </si>
  <si>
    <t>연보라 피벗 스타일 보통 12</t>
  </si>
  <si>
    <t>최대값 총합계는 그룹들의 최대값</t>
  </si>
  <si>
    <t>일반 합계로 계산하지 마세요</t>
  </si>
  <si>
    <t>(모두)</t>
  </si>
  <si>
    <t>총합계</t>
  </si>
  <si>
    <t>합계 : 입고량</t>
  </si>
  <si>
    <t>평균 : 판매수량</t>
  </si>
  <si>
    <t>값</t>
  </si>
  <si>
    <t>**</t>
  </si>
  <si>
    <t>최대 : 입고량</t>
  </si>
  <si>
    <t>0-24</t>
  </si>
  <si>
    <t>25-49</t>
  </si>
  <si>
    <t>50-74</t>
  </si>
  <si>
    <t>75-100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</si>
</sst>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/>
    </xf>
    <xf numFmtId="3" fontId="1" fillId="0" borderId="0" xfId="1" applyNumberFormat="1" applyFont="1" applyAlignment="1">
      <alignment vertical="center"/>
    </xf>
    <xf numFmtId="0" fontId="1" fillId="0" borderId="0" xfId="0" applyFont="1"/>
    <xf numFmtId="0" fontId="1" fillId="3" borderId="0" xfId="0" applyFont="1" applyFill="1"/>
    <xf numFmtId="0" fontId="1" fillId="0" borderId="0" xfId="0" pivotButton="1" applyFont="1"/>
    <xf numFmtId="0" fontId="1" fillId="0" borderId="0" xfId="0" applyFont="1" applyAlignment="1">
      <alignment horizontal="center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/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</cellXfs>
  <cellStyles count="2">
    <cellStyle name="Normal" xfId="1" xr:uid="{00000000-0005-0000-0000-000000000000}"/>
    <cellStyle name="표준" xfId="0" builtinId="0"/>
  </cellStyles>
  <dxfs count="32"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alignment horizontal="right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rgb="FF00B0F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  <dxf>
      <font>
        <name val="맑은 고딕"/>
        <family val="3"/>
        <charset val="12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g park" refreshedDate="46302.499551967594" createdVersion="8" refreshedVersion="8" minRefreshableVersion="3" recordCount="15" xr:uid="{AB5A5678-4441-4B36-A154-635F21E18345}">
  <cacheSource type="worksheet">
    <worksheetSource ref="B3:H18" sheet="피벗2_정답"/>
  </cacheSource>
  <cacheFields count="7">
    <cacheField name="제품명" numFmtId="0">
      <sharedItems count="3">
        <s v="공기청정기"/>
        <s v="에어컨"/>
        <s v="LED-TV"/>
      </sharedItems>
    </cacheField>
    <cacheField name="지역" numFmtId="0">
      <sharedItems/>
    </cacheField>
    <cacheField name="담당자" numFmtId="0">
      <sharedItems/>
    </cacheField>
    <cacheField name="입고량" numFmtId="0">
      <sharedItems containsSemiMixedTypes="0" containsString="0" containsNumber="1" containsInteger="1" minValue="10" maxValue="99"/>
    </cacheField>
    <cacheField name="판매단가" numFmtId="3">
      <sharedItems containsSemiMixedTypes="0" containsString="0" containsNumber="1" containsInteger="1" minValue="780000" maxValue="2450000"/>
    </cacheField>
    <cacheField name="판매수량" numFmtId="0">
      <sharedItems containsSemiMixedTypes="0" containsString="0" containsNumber="1" containsInteger="1" minValue="10" maxValue="85" count="15">
        <n v="71"/>
        <n v="76"/>
        <n v="45"/>
        <n v="15"/>
        <n v="61"/>
        <n v="63"/>
        <n v="42"/>
        <n v="85"/>
        <n v="75"/>
        <n v="50"/>
        <n v="10"/>
        <n v="56"/>
        <n v="46"/>
        <n v="54"/>
        <n v="73"/>
      </sharedItems>
      <fieldGroup base="5">
        <rangePr autoStart="0" autoEnd="0"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매출액" numFmtId="3">
      <sharedItems containsSemiMixedTypes="0" containsString="0" containsNumber="1" containsInteger="1" minValue="11700000" maxValue="186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g park" refreshedDate="46302.499567129627" createdVersion="8" refreshedVersion="8" minRefreshableVersion="3" recordCount="15" xr:uid="{9A025156-5CA1-4AB2-B54E-95614892CA7D}">
  <cacheSource type="worksheet">
    <worksheetSource ref="B3:H18" sheet="피벗1_정답"/>
  </cacheSource>
  <cacheFields count="7">
    <cacheField name="제품명" numFmtId="0">
      <sharedItems count="3">
        <s v="공기청정기"/>
        <s v="에어컨"/>
        <s v="LED-TV"/>
      </sharedItems>
    </cacheField>
    <cacheField name="지역" numFmtId="0">
      <sharedItems count="6">
        <s v="인천"/>
        <s v="서울"/>
        <s v="강원"/>
        <s v="부산"/>
        <s v="광주"/>
        <s v="대구"/>
      </sharedItems>
    </cacheField>
    <cacheField name="담당자" numFmtId="0">
      <sharedItems count="15">
        <s v="신수미"/>
        <s v="황고우"/>
        <s v="홍민영"/>
        <s v="남지우"/>
        <s v="김정일"/>
        <s v="한경주"/>
        <s v="허영미"/>
        <s v="이재필"/>
        <s v="이민호"/>
        <s v="조강철"/>
        <s v="송영미"/>
        <s v="고우리"/>
        <s v="한수영"/>
        <s v="한우영"/>
        <s v="김시은"/>
      </sharedItems>
    </cacheField>
    <cacheField name="입고량" numFmtId="0">
      <sharedItems containsSemiMixedTypes="0" containsString="0" containsNumber="1" containsInteger="1" minValue="33" maxValue="99"/>
    </cacheField>
    <cacheField name="판매단가" numFmtId="3">
      <sharedItems containsSemiMixedTypes="0" containsString="0" containsNumber="1" containsInteger="1" minValue="780000" maxValue="1740000"/>
    </cacheField>
    <cacheField name="판매수량" numFmtId="0">
      <sharedItems containsSemiMixedTypes="0" containsString="0" containsNumber="1" containsInteger="1" minValue="35" maxValue="85"/>
    </cacheField>
    <cacheField name="매출액" numFmtId="3">
      <sharedItems containsSemiMixedTypes="0" containsString="0" containsNumber="1" containsInteger="1" minValue="27300000" maxValue="13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서울"/>
    <s v="신수미"/>
    <n v="75"/>
    <n v="1600000"/>
    <x v="0"/>
    <n v="113600000"/>
  </r>
  <r>
    <x v="1"/>
    <s v="서울"/>
    <s v="이승민"/>
    <n v="83"/>
    <n v="2450000"/>
    <x v="1"/>
    <n v="186200000"/>
  </r>
  <r>
    <x v="2"/>
    <s v="서울"/>
    <s v="김시은"/>
    <n v="75"/>
    <n v="1200000"/>
    <x v="2"/>
    <n v="54000000"/>
  </r>
  <r>
    <x v="1"/>
    <s v="서울"/>
    <s v="조강철"/>
    <n v="15"/>
    <n v="780000"/>
    <x v="3"/>
    <n v="11700000"/>
  </r>
  <r>
    <x v="0"/>
    <s v="서울"/>
    <s v="이민호"/>
    <n v="65"/>
    <n v="1400000"/>
    <x v="4"/>
    <n v="85400000"/>
  </r>
  <r>
    <x v="1"/>
    <s v="서울"/>
    <s v="한수영"/>
    <n v="65"/>
    <n v="980000"/>
    <x v="5"/>
    <n v="61740000"/>
  </r>
  <r>
    <x v="2"/>
    <s v="서울"/>
    <s v="허영미"/>
    <n v="55"/>
    <n v="1540000"/>
    <x v="6"/>
    <n v="64680000"/>
  </r>
  <r>
    <x v="0"/>
    <s v="서울"/>
    <s v="한우영"/>
    <n v="85"/>
    <n v="1600000"/>
    <x v="7"/>
    <n v="136000000"/>
  </r>
  <r>
    <x v="1"/>
    <s v="서울"/>
    <s v="송영미"/>
    <n v="99"/>
    <n v="1000000"/>
    <x v="8"/>
    <n v="75000000"/>
  </r>
  <r>
    <x v="2"/>
    <s v="서울"/>
    <s v="김정일"/>
    <n v="95"/>
    <n v="1200000"/>
    <x v="9"/>
    <n v="60000000"/>
  </r>
  <r>
    <x v="0"/>
    <s v="서울"/>
    <s v="고우리"/>
    <n v="10"/>
    <n v="1740000"/>
    <x v="10"/>
    <n v="17400000"/>
  </r>
  <r>
    <x v="1"/>
    <s v="서울"/>
    <s v="황고우"/>
    <n v="65"/>
    <n v="1200000"/>
    <x v="11"/>
    <n v="67200000"/>
  </r>
  <r>
    <x v="0"/>
    <s v="서울"/>
    <s v="이재필"/>
    <n v="95"/>
    <n v="1370000"/>
    <x v="12"/>
    <n v="63020000"/>
  </r>
  <r>
    <x v="1"/>
    <s v="서울"/>
    <s v="홍민영"/>
    <n v="78"/>
    <n v="890000"/>
    <x v="13"/>
    <n v="48060000"/>
  </r>
  <r>
    <x v="0"/>
    <s v="서울"/>
    <s v="남지우"/>
    <n v="75"/>
    <n v="1500000"/>
    <x v="14"/>
    <n v="1095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n v="75"/>
    <n v="1600000"/>
    <n v="71"/>
    <n v="113600000"/>
  </r>
  <r>
    <x v="1"/>
    <x v="1"/>
    <x v="1"/>
    <n v="65"/>
    <n v="1200000"/>
    <n v="56"/>
    <n v="67200000"/>
  </r>
  <r>
    <x v="1"/>
    <x v="2"/>
    <x v="2"/>
    <n v="78"/>
    <n v="890000"/>
    <n v="54"/>
    <n v="48060000"/>
  </r>
  <r>
    <x v="0"/>
    <x v="3"/>
    <x v="3"/>
    <n v="75"/>
    <n v="1500000"/>
    <n v="73"/>
    <n v="109500000"/>
  </r>
  <r>
    <x v="2"/>
    <x v="4"/>
    <x v="4"/>
    <n v="95"/>
    <n v="1200000"/>
    <n v="50"/>
    <n v="60000000"/>
  </r>
  <r>
    <x v="1"/>
    <x v="1"/>
    <x v="5"/>
    <n v="45"/>
    <n v="970000"/>
    <n v="76"/>
    <n v="73720000"/>
  </r>
  <r>
    <x v="2"/>
    <x v="2"/>
    <x v="6"/>
    <n v="55"/>
    <n v="1540000"/>
    <n v="42"/>
    <n v="64680000"/>
  </r>
  <r>
    <x v="0"/>
    <x v="0"/>
    <x v="7"/>
    <n v="95"/>
    <n v="1370000"/>
    <n v="46"/>
    <n v="63020000"/>
  </r>
  <r>
    <x v="0"/>
    <x v="1"/>
    <x v="8"/>
    <n v="65"/>
    <n v="1400000"/>
    <n v="61"/>
    <n v="85400000"/>
  </r>
  <r>
    <x v="1"/>
    <x v="5"/>
    <x v="9"/>
    <n v="45"/>
    <n v="780000"/>
    <n v="35"/>
    <n v="27300000"/>
  </r>
  <r>
    <x v="1"/>
    <x v="4"/>
    <x v="10"/>
    <n v="99"/>
    <n v="1000000"/>
    <n v="75"/>
    <n v="75000000"/>
  </r>
  <r>
    <x v="0"/>
    <x v="1"/>
    <x v="11"/>
    <n v="33"/>
    <n v="1740000"/>
    <n v="68"/>
    <n v="118320000"/>
  </r>
  <r>
    <x v="1"/>
    <x v="5"/>
    <x v="12"/>
    <n v="65"/>
    <n v="980000"/>
    <n v="63"/>
    <n v="61740000"/>
  </r>
  <r>
    <x v="0"/>
    <x v="3"/>
    <x v="13"/>
    <n v="85"/>
    <n v="1600000"/>
    <n v="85"/>
    <n v="136000000"/>
  </r>
  <r>
    <x v="2"/>
    <x v="0"/>
    <x v="14"/>
    <n v="75"/>
    <n v="1200000"/>
    <n v="45"/>
    <n v="54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EB6E8-1761-4CD8-9779-D2BBCC941608}" name="PivotNovember" cacheId="1" applyNumberFormats="0" applyBorderFormats="0" applyFontFormats="0" applyPatternFormats="0" applyAlignmentFormats="0" applyWidthHeightFormats="1" dataCaption="값" missingCaption="**" updatedVersion="8" minRefreshableVersion="3" useAutoFormatting="1" colGrandTotals="0" itemPrintTitles="1" mergeItem="1" createdVersion="8" indent="0" compact="0" outline="1" outlineData="1" compactData="0" multipleFieldFilters="0">
  <location ref="B23:F32" firstHeaderRow="1" firstDataRow="3" firstDataCol="1" rowPageCount="1" colPageCount="1"/>
  <pivotFields count="7">
    <pivotField axis="axisCol" compact="0" showAll="0">
      <items count="4">
        <item h="1" x="2"/>
        <item x="0"/>
        <item x="1"/>
        <item t="default"/>
      </items>
    </pivotField>
    <pivotField axis="axisRow" compact="0" showAll="0">
      <items count="7">
        <item x="2"/>
        <item x="4"/>
        <item x="5"/>
        <item x="3"/>
        <item x="1"/>
        <item x="0"/>
        <item t="default"/>
      </items>
    </pivotField>
    <pivotField axis="axisPage" compact="0" showAll="0">
      <items count="16">
        <item x="11"/>
        <item x="14"/>
        <item x="4"/>
        <item x="3"/>
        <item x="10"/>
        <item x="0"/>
        <item x="8"/>
        <item x="7"/>
        <item x="9"/>
        <item x="5"/>
        <item x="12"/>
        <item x="13"/>
        <item x="6"/>
        <item x="2"/>
        <item x="1"/>
        <item t="default"/>
      </items>
    </pivotField>
    <pivotField dataField="1" compact="0" showAll="0"/>
    <pivotField compact="0" numFmtId="3" showAll="0"/>
    <pivotField dataField="1" compact="0" showAll="0"/>
    <pivotField compact="0" numFmtId="3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0"/>
    <field x="-2"/>
  </colFields>
  <colItems count="4">
    <i>
      <x v="1"/>
      <x/>
    </i>
    <i r="1" i="1">
      <x v="1"/>
    </i>
    <i>
      <x v="2"/>
      <x/>
    </i>
    <i r="1" i="1">
      <x v="1"/>
    </i>
  </colItems>
  <pageFields count="1">
    <pageField fld="2" hier="-1"/>
  </pageFields>
  <dataFields count="2">
    <dataField name="합계 : 입고량" fld="3" baseField="0" baseItem="0" numFmtId="3"/>
    <dataField name="평균 : 판매수량" fld="5" subtotal="average" baseField="0" baseItem="0" numFmtId="3"/>
  </dataFields>
  <formats count="13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field="-2" type="button" dataOnly="0" labelOnly="1" outline="0" axis="axisCol" fieldPosition="1"/>
    </format>
    <format dxfId="26">
      <pivotArea type="topRight" dataOnly="0" labelOnly="1" outline="0" fieldPosition="0"/>
    </format>
    <format dxfId="25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319F6-B301-4915-8376-AAF1BF957621}" name="PivotDecember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B21:F27" firstHeaderRow="1" firstDataRow="2" firstDataCol="1"/>
  <pivotFields count="7"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numFmtId="3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3" outline="0" showAll="0"/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최대 : 입고량" fld="3" subtotal="max" baseField="0" baseItem="0" numFmtId="3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5" type="button" dataOnly="0" labelOnly="1" outline="0" axis="axisRow" fieldPosition="0"/>
    </format>
    <format dxfId="13">
      <pivotArea dataOnly="0" labelOnly="1" outline="0" fieldPosition="0">
        <references count="1">
          <reference field="5" count="4">
            <x v="1"/>
            <x v="2"/>
            <x v="3"/>
            <x v="4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grandCol="1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B699F-3337-4E4D-BA79-C323578850D6}" name="표1" displayName="표1" ref="A1:G3" totalsRowShown="0" headerRowDxfId="6" dataDxfId="5">
  <autoFilter ref="A1:G3" xr:uid="{2DBB699F-3337-4E4D-BA79-C323578850D6}"/>
  <tableColumns count="7">
    <tableColumn id="1" xr3:uid="{9E2D3121-C505-4B39-A7B5-A97968CABFFB}" name="제품명" dataDxfId="9"/>
    <tableColumn id="2" xr3:uid="{4262AF64-01C8-4877-A126-87217BF87C2B}" name="지역" dataDxfId="8"/>
    <tableColumn id="3" xr3:uid="{96D4E890-7D7B-43A4-AA6D-34E236FA69BA}" name="담당자" dataDxfId="7"/>
    <tableColumn id="4" xr3:uid="{B6DFF5D7-33BD-471E-90F7-E48C2AFC4761}" name="입고량" dataDxfId="3"/>
    <tableColumn id="5" xr3:uid="{05EBA15B-7E06-4969-A19A-E3740D60C5BD}" name="판매단가" dataDxfId="2"/>
    <tableColumn id="6" xr3:uid="{37C8F07A-D9B8-4681-A04A-5F8280901359}" name="판매수량" dataDxfId="1"/>
    <tableColumn id="7" xr3:uid="{A3F7D930-68DF-4425-AAB9-712AE3C016C2}" name="매출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7D789F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showGridLines="0" tabSelected="1" zoomScale="85" zoomScaleNormal="85" workbookViewId="0">
      <selection sqref="A1:D1"/>
    </sheetView>
  </sheetViews>
  <sheetFormatPr defaultRowHeight="14.25"/>
  <cols>
    <col min="1" max="4" width="32" customWidth="1"/>
  </cols>
  <sheetData>
    <row r="1" spans="1:4" ht="38.1" customHeight="1">
      <c r="A1" s="12" t="s">
        <v>0</v>
      </c>
      <c r="B1" s="13"/>
      <c r="C1" s="13"/>
      <c r="D1" s="13"/>
    </row>
    <row r="2" spans="1:4" ht="38.1" customHeight="1">
      <c r="A2" s="1"/>
      <c r="B2" s="1"/>
      <c r="C2" s="1"/>
      <c r="D2" s="1"/>
    </row>
    <row r="3" spans="1:4" ht="38.1" customHeight="1">
      <c r="A3" s="14" t="s">
        <v>1</v>
      </c>
      <c r="B3" s="14"/>
      <c r="C3" s="14"/>
      <c r="D3" s="14"/>
    </row>
    <row r="4" spans="1:4" ht="38.1" customHeight="1">
      <c r="A4" s="14" t="s">
        <v>2</v>
      </c>
      <c r="B4" s="14"/>
      <c r="C4" s="14"/>
      <c r="D4" s="14"/>
    </row>
    <row r="5" spans="1:4" ht="38.1" customHeight="1">
      <c r="A5" s="14" t="s">
        <v>3</v>
      </c>
      <c r="B5" s="14"/>
      <c r="C5" s="14"/>
      <c r="D5" s="14"/>
    </row>
    <row r="6" spans="1:4" ht="38.1" customHeight="1">
      <c r="A6" s="14" t="s">
        <v>4</v>
      </c>
      <c r="B6" s="14"/>
      <c r="C6" s="14"/>
      <c r="D6" s="14"/>
    </row>
    <row r="7" spans="1:4" ht="38.1" customHeight="1">
      <c r="A7" s="14" t="s">
        <v>5</v>
      </c>
      <c r="B7" s="14"/>
      <c r="C7" s="14"/>
      <c r="D7" s="14"/>
    </row>
    <row r="8" spans="1:4" ht="38.1" customHeight="1">
      <c r="A8" s="14" t="s">
        <v>6</v>
      </c>
      <c r="B8" s="14"/>
      <c r="C8" s="14"/>
      <c r="D8" s="14"/>
    </row>
    <row r="9" spans="1:4" ht="38.1" customHeight="1">
      <c r="A9" s="14" t="s">
        <v>7</v>
      </c>
      <c r="B9" s="14"/>
      <c r="C9" s="14"/>
      <c r="D9" s="14"/>
    </row>
    <row r="10" spans="1:4" ht="38.1" customHeight="1">
      <c r="A10" s="14" t="s">
        <v>8</v>
      </c>
      <c r="B10" s="14"/>
      <c r="C10" s="14"/>
      <c r="D10" s="14"/>
    </row>
    <row r="11" spans="1:4" ht="38.1" customHeight="1">
      <c r="A11" s="14" t="s">
        <v>9</v>
      </c>
      <c r="B11" s="14"/>
      <c r="C11" s="14"/>
      <c r="D11" s="14"/>
    </row>
    <row r="12" spans="1:4" ht="38.1" customHeight="1">
      <c r="A12" s="14" t="s">
        <v>10</v>
      </c>
      <c r="B12" s="14"/>
      <c r="C12" s="14"/>
      <c r="D12" s="14"/>
    </row>
    <row r="13" spans="1:4" ht="38.1" customHeight="1">
      <c r="A13" s="14" t="s">
        <v>11</v>
      </c>
      <c r="B13" s="14"/>
      <c r="C13" s="14"/>
      <c r="D13" s="14"/>
    </row>
    <row r="14" spans="1:4" ht="38.1" customHeight="1">
      <c r="A14" s="14" t="s">
        <v>12</v>
      </c>
      <c r="B14" s="14"/>
      <c r="C14" s="14"/>
      <c r="D14" s="14"/>
    </row>
    <row r="15" spans="1:4" ht="38.1" customHeight="1">
      <c r="A15" s="14" t="s">
        <v>13</v>
      </c>
      <c r="B15" s="14"/>
      <c r="C15" s="14"/>
      <c r="D15" s="14"/>
    </row>
    <row r="16" spans="1:4" ht="38.1" customHeight="1">
      <c r="A16" s="14" t="s">
        <v>14</v>
      </c>
      <c r="B16" s="14"/>
      <c r="C16" s="14"/>
      <c r="D16" s="14"/>
    </row>
    <row r="17" spans="1:4" ht="38.1" customHeight="1">
      <c r="A17" s="14" t="s">
        <v>15</v>
      </c>
      <c r="B17" s="14"/>
      <c r="C17" s="14"/>
      <c r="D17" s="14"/>
    </row>
    <row r="18" spans="1:4" ht="38.1" customHeight="1">
      <c r="A18" s="14" t="s">
        <v>16</v>
      </c>
      <c r="B18" s="14"/>
      <c r="C18" s="14"/>
      <c r="D18" s="14"/>
    </row>
    <row r="19" spans="1:4" ht="38.1" customHeight="1">
      <c r="A19" s="14" t="s">
        <v>17</v>
      </c>
      <c r="B19" s="14"/>
      <c r="C19" s="14"/>
      <c r="D19" s="14"/>
    </row>
    <row r="20" spans="1:4" ht="38.1" customHeight="1">
      <c r="A20" s="14" t="s">
        <v>18</v>
      </c>
      <c r="B20" s="14"/>
      <c r="C20" s="14"/>
      <c r="D20" s="14"/>
    </row>
    <row r="21" spans="1:4" ht="38.1" customHeight="1">
      <c r="A21" s="14" t="s">
        <v>19</v>
      </c>
      <c r="B21" s="14"/>
      <c r="C21" s="14"/>
      <c r="D21" s="14"/>
    </row>
    <row r="22" spans="1:4" ht="38.1" customHeight="1">
      <c r="A22" s="14" t="s">
        <v>20</v>
      </c>
      <c r="B22" s="14"/>
      <c r="C22" s="14"/>
      <c r="D22" s="14"/>
    </row>
  </sheetData>
  <mergeCells count="21">
    <mergeCell ref="A22:D22"/>
    <mergeCell ref="A17:D17"/>
    <mergeCell ref="A18:D18"/>
    <mergeCell ref="A19:D19"/>
    <mergeCell ref="A20:D20"/>
    <mergeCell ref="A21:D21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1:D1"/>
    <mergeCell ref="A3:D3"/>
    <mergeCell ref="A4:D4"/>
    <mergeCell ref="A5:D5"/>
    <mergeCell ref="A6:D6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0"/>
  <sheetViews>
    <sheetView workbookViewId="0"/>
  </sheetViews>
  <sheetFormatPr defaultRowHeight="14.25"/>
  <cols>
    <col min="1" max="1" width="3" customWidth="1"/>
    <col min="2" max="2" width="20" customWidth="1"/>
    <col min="3" max="4" width="17" customWidth="1"/>
    <col min="5" max="8" width="19" customWidth="1"/>
    <col min="9" max="9" width="3" customWidth="1"/>
    <col min="10" max="12" width="24" customWidth="1"/>
  </cols>
  <sheetData>
    <row r="1" spans="1:12" ht="27" customHeight="1">
      <c r="A1" s="2"/>
      <c r="B1" s="15" t="s">
        <v>21</v>
      </c>
      <c r="C1" s="16"/>
      <c r="D1" s="16"/>
      <c r="E1" s="16"/>
      <c r="F1" s="16"/>
      <c r="G1" s="16"/>
      <c r="H1" s="16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2"/>
      <c r="J3" s="16" t="s">
        <v>29</v>
      </c>
      <c r="K3" s="16"/>
      <c r="L3" s="16"/>
    </row>
    <row r="4" spans="1:12" ht="27" customHeight="1">
      <c r="A4" s="2"/>
      <c r="B4" s="2" t="s">
        <v>30</v>
      </c>
      <c r="C4" s="2" t="s">
        <v>31</v>
      </c>
      <c r="D4" s="2" t="s">
        <v>32</v>
      </c>
      <c r="E4" s="2">
        <v>75</v>
      </c>
      <c r="F4" s="4">
        <v>1600000</v>
      </c>
      <c r="G4" s="2">
        <v>71</v>
      </c>
      <c r="H4" s="4">
        <f t="shared" ref="H4:H18" si="0">F4*G4</f>
        <v>113600000</v>
      </c>
      <c r="I4" s="2"/>
      <c r="J4" s="2"/>
      <c r="K4" s="2"/>
      <c r="L4" s="2"/>
    </row>
    <row r="5" spans="1:12" ht="33" customHeight="1">
      <c r="A5" s="2"/>
      <c r="B5" s="2" t="s">
        <v>33</v>
      </c>
      <c r="C5" s="2" t="s">
        <v>34</v>
      </c>
      <c r="D5" s="2" t="s">
        <v>35</v>
      </c>
      <c r="E5" s="2">
        <v>65</v>
      </c>
      <c r="F5" s="4">
        <v>1200000</v>
      </c>
      <c r="G5" s="2">
        <v>56</v>
      </c>
      <c r="H5" s="4">
        <f t="shared" si="0"/>
        <v>67200000</v>
      </c>
      <c r="I5" s="2"/>
      <c r="J5" s="17" t="s">
        <v>36</v>
      </c>
      <c r="K5" s="17"/>
      <c r="L5" s="17"/>
    </row>
    <row r="6" spans="1:12" ht="33" customHeight="1">
      <c r="A6" s="2"/>
      <c r="B6" s="2" t="s">
        <v>33</v>
      </c>
      <c r="C6" s="2" t="s">
        <v>37</v>
      </c>
      <c r="D6" s="2" t="s">
        <v>38</v>
      </c>
      <c r="E6" s="2">
        <v>78</v>
      </c>
      <c r="F6" s="4">
        <v>890000</v>
      </c>
      <c r="G6" s="2">
        <v>54</v>
      </c>
      <c r="H6" s="4">
        <f t="shared" si="0"/>
        <v>48060000</v>
      </c>
      <c r="I6" s="2"/>
      <c r="J6" s="17" t="s">
        <v>39</v>
      </c>
      <c r="K6" s="17"/>
      <c r="L6" s="17"/>
    </row>
    <row r="7" spans="1:12" ht="33" customHeight="1">
      <c r="A7" s="2"/>
      <c r="B7" s="2" t="s">
        <v>30</v>
      </c>
      <c r="C7" s="2" t="s">
        <v>40</v>
      </c>
      <c r="D7" s="2" t="s">
        <v>41</v>
      </c>
      <c r="E7" s="2">
        <v>75</v>
      </c>
      <c r="F7" s="4">
        <v>1500000</v>
      </c>
      <c r="G7" s="2">
        <v>73</v>
      </c>
      <c r="H7" s="4">
        <f t="shared" si="0"/>
        <v>109500000</v>
      </c>
      <c r="I7" s="2"/>
      <c r="J7" s="17" t="s">
        <v>42</v>
      </c>
      <c r="K7" s="17"/>
      <c r="L7" s="17"/>
    </row>
    <row r="8" spans="1:12" ht="33" customHeight="1">
      <c r="A8" s="2"/>
      <c r="B8" s="2" t="s">
        <v>43</v>
      </c>
      <c r="C8" s="2" t="s">
        <v>44</v>
      </c>
      <c r="D8" s="2" t="s">
        <v>45</v>
      </c>
      <c r="E8" s="2">
        <v>95</v>
      </c>
      <c r="F8" s="4">
        <v>1200000</v>
      </c>
      <c r="G8" s="2">
        <v>50</v>
      </c>
      <c r="H8" s="4">
        <f t="shared" si="0"/>
        <v>60000000</v>
      </c>
      <c r="I8" s="2"/>
      <c r="J8" s="17" t="s">
        <v>46</v>
      </c>
      <c r="K8" s="17"/>
      <c r="L8" s="17"/>
    </row>
    <row r="9" spans="1:12" ht="33" customHeight="1">
      <c r="A9" s="2"/>
      <c r="B9" s="2" t="s">
        <v>33</v>
      </c>
      <c r="C9" s="2" t="s">
        <v>34</v>
      </c>
      <c r="D9" s="2" t="s">
        <v>47</v>
      </c>
      <c r="E9" s="2">
        <v>45</v>
      </c>
      <c r="F9" s="4">
        <v>970000</v>
      </c>
      <c r="G9" s="2">
        <v>76</v>
      </c>
      <c r="H9" s="4">
        <f t="shared" si="0"/>
        <v>73720000</v>
      </c>
      <c r="I9" s="2"/>
      <c r="J9" s="17" t="s">
        <v>48</v>
      </c>
      <c r="K9" s="17"/>
      <c r="L9" s="17"/>
    </row>
    <row r="10" spans="1:12" ht="33" customHeight="1">
      <c r="A10" s="2"/>
      <c r="B10" s="2" t="s">
        <v>43</v>
      </c>
      <c r="C10" s="2" t="s">
        <v>37</v>
      </c>
      <c r="D10" s="2" t="s">
        <v>49</v>
      </c>
      <c r="E10" s="2">
        <v>55</v>
      </c>
      <c r="F10" s="4">
        <v>1540000</v>
      </c>
      <c r="G10" s="2">
        <v>42</v>
      </c>
      <c r="H10" s="4">
        <f t="shared" si="0"/>
        <v>64680000</v>
      </c>
      <c r="I10" s="2"/>
      <c r="J10" s="17" t="s">
        <v>50</v>
      </c>
      <c r="K10" s="17"/>
      <c r="L10" s="17"/>
    </row>
    <row r="11" spans="1:12" ht="33" customHeight="1">
      <c r="A11" s="2"/>
      <c r="B11" s="2" t="s">
        <v>30</v>
      </c>
      <c r="C11" s="2" t="s">
        <v>31</v>
      </c>
      <c r="D11" s="2" t="s">
        <v>51</v>
      </c>
      <c r="E11" s="2">
        <v>95</v>
      </c>
      <c r="F11" s="4">
        <v>1370000</v>
      </c>
      <c r="G11" s="2">
        <v>46</v>
      </c>
      <c r="H11" s="4">
        <f t="shared" si="0"/>
        <v>63020000</v>
      </c>
      <c r="I11" s="2"/>
      <c r="J11" s="17" t="s">
        <v>52</v>
      </c>
      <c r="K11" s="17"/>
      <c r="L11" s="17"/>
    </row>
    <row r="12" spans="1:12" ht="33" customHeight="1">
      <c r="A12" s="2"/>
      <c r="B12" s="2" t="s">
        <v>30</v>
      </c>
      <c r="C12" s="2" t="s">
        <v>34</v>
      </c>
      <c r="D12" s="2" t="s">
        <v>53</v>
      </c>
      <c r="E12" s="2">
        <v>65</v>
      </c>
      <c r="F12" s="4">
        <v>1400000</v>
      </c>
      <c r="G12" s="2">
        <v>61</v>
      </c>
      <c r="H12" s="4">
        <f t="shared" si="0"/>
        <v>85400000</v>
      </c>
      <c r="I12" s="2"/>
      <c r="J12" s="17" t="s">
        <v>54</v>
      </c>
      <c r="K12" s="17"/>
      <c r="L12" s="17"/>
    </row>
    <row r="13" spans="1:12" ht="33" customHeight="1">
      <c r="A13" s="2"/>
      <c r="B13" s="2" t="s">
        <v>33</v>
      </c>
      <c r="C13" s="2" t="s">
        <v>55</v>
      </c>
      <c r="D13" s="2" t="s">
        <v>56</v>
      </c>
      <c r="E13" s="2">
        <v>45</v>
      </c>
      <c r="F13" s="4">
        <v>780000</v>
      </c>
      <c r="G13" s="2">
        <v>35</v>
      </c>
      <c r="H13" s="4">
        <f t="shared" si="0"/>
        <v>27300000</v>
      </c>
      <c r="I13" s="2"/>
      <c r="J13" s="17" t="s">
        <v>57</v>
      </c>
      <c r="K13" s="17"/>
      <c r="L13" s="17"/>
    </row>
    <row r="14" spans="1:12" ht="27" customHeight="1">
      <c r="A14" s="2"/>
      <c r="B14" s="2" t="s">
        <v>33</v>
      </c>
      <c r="C14" s="2" t="s">
        <v>44</v>
      </c>
      <c r="D14" s="2" t="s">
        <v>58</v>
      </c>
      <c r="E14" s="2">
        <v>99</v>
      </c>
      <c r="F14" s="4">
        <v>1000000</v>
      </c>
      <c r="G14" s="2">
        <v>75</v>
      </c>
      <c r="H14" s="4">
        <f t="shared" si="0"/>
        <v>75000000</v>
      </c>
      <c r="I14" s="2"/>
      <c r="J14" s="2"/>
      <c r="K14" s="2"/>
      <c r="L14" s="2"/>
    </row>
    <row r="15" spans="1:12" ht="27" customHeight="1">
      <c r="A15" s="2"/>
      <c r="B15" s="2" t="s">
        <v>30</v>
      </c>
      <c r="C15" s="2" t="s">
        <v>34</v>
      </c>
      <c r="D15" s="2" t="s">
        <v>59</v>
      </c>
      <c r="E15" s="2">
        <v>33</v>
      </c>
      <c r="F15" s="4">
        <v>1740000</v>
      </c>
      <c r="G15" s="2">
        <v>68</v>
      </c>
      <c r="H15" s="4">
        <f t="shared" si="0"/>
        <v>118320000</v>
      </c>
      <c r="I15" s="2"/>
      <c r="J15" s="2"/>
      <c r="K15" s="2"/>
      <c r="L15" s="2"/>
    </row>
    <row r="16" spans="1:12" ht="27" customHeight="1">
      <c r="A16" s="2"/>
      <c r="B16" s="2" t="s">
        <v>33</v>
      </c>
      <c r="C16" s="2" t="s">
        <v>55</v>
      </c>
      <c r="D16" s="2" t="s">
        <v>60</v>
      </c>
      <c r="E16" s="2">
        <v>65</v>
      </c>
      <c r="F16" s="4">
        <v>980000</v>
      </c>
      <c r="G16" s="2">
        <v>63</v>
      </c>
      <c r="H16" s="4">
        <f t="shared" si="0"/>
        <v>61740000</v>
      </c>
      <c r="I16" s="2"/>
      <c r="J16" s="17" t="s">
        <v>61</v>
      </c>
      <c r="K16" s="17"/>
      <c r="L16" s="17"/>
    </row>
    <row r="17" spans="1:12" ht="27" customHeight="1">
      <c r="A17" s="2"/>
      <c r="B17" s="2" t="s">
        <v>30</v>
      </c>
      <c r="C17" s="2" t="s">
        <v>40</v>
      </c>
      <c r="D17" s="2" t="s">
        <v>62</v>
      </c>
      <c r="E17" s="2">
        <v>85</v>
      </c>
      <c r="F17" s="4">
        <v>1600000</v>
      </c>
      <c r="G17" s="2">
        <v>85</v>
      </c>
      <c r="H17" s="4">
        <f t="shared" si="0"/>
        <v>136000000</v>
      </c>
      <c r="I17" s="2"/>
      <c r="J17" s="17"/>
      <c r="K17" s="17"/>
      <c r="L17" s="17"/>
    </row>
    <row r="18" spans="1:12" ht="27" customHeight="1">
      <c r="A18" s="2"/>
      <c r="B18" s="2" t="s">
        <v>43</v>
      </c>
      <c r="C18" s="2" t="s">
        <v>31</v>
      </c>
      <c r="D18" s="2" t="s">
        <v>63</v>
      </c>
      <c r="E18" s="2">
        <v>75</v>
      </c>
      <c r="F18" s="4">
        <v>1200000</v>
      </c>
      <c r="G18" s="2">
        <v>45</v>
      </c>
      <c r="H18" s="4">
        <f t="shared" si="0"/>
        <v>54000000</v>
      </c>
      <c r="I18" s="2"/>
      <c r="J18" s="17"/>
      <c r="K18" s="17"/>
      <c r="L18" s="17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12">
    <mergeCell ref="J13:L13"/>
    <mergeCell ref="J16:L18"/>
    <mergeCell ref="J8:L8"/>
    <mergeCell ref="J9:L9"/>
    <mergeCell ref="J10:L10"/>
    <mergeCell ref="J11:L11"/>
    <mergeCell ref="J12:L12"/>
    <mergeCell ref="B1:H1"/>
    <mergeCell ref="J3:L3"/>
    <mergeCell ref="J5:L5"/>
    <mergeCell ref="J6:L6"/>
    <mergeCell ref="J7:L7"/>
  </mergeCells>
  <phoneticPr fontId="5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2E02-218C-4F20-8C75-639995598F88}">
  <sheetPr>
    <pageSetUpPr fitToPage="1"/>
  </sheetPr>
  <dimension ref="A1:G3"/>
  <sheetViews>
    <sheetView zoomScaleNormal="100" workbookViewId="0">
      <selection sqref="A1:G3"/>
    </sheetView>
  </sheetViews>
  <sheetFormatPr defaultRowHeight="14.25"/>
  <cols>
    <col min="1" max="1" width="9.375" bestFit="1" customWidth="1"/>
    <col min="2" max="2" width="7.5" bestFit="1" customWidth="1"/>
    <col min="3" max="4" width="9.375" bestFit="1" customWidth="1"/>
    <col min="5" max="6" width="11.25" bestFit="1" customWidth="1"/>
    <col min="7" max="7" width="10.25" bestFit="1" customWidth="1"/>
  </cols>
  <sheetData>
    <row r="1" spans="1:7" ht="16.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ht="16.5">
      <c r="A2" s="5" t="s">
        <v>33</v>
      </c>
      <c r="B2" s="5" t="s">
        <v>34</v>
      </c>
      <c r="C2" s="5" t="s">
        <v>47</v>
      </c>
      <c r="D2" s="5">
        <v>45</v>
      </c>
      <c r="E2" s="11">
        <v>970000</v>
      </c>
      <c r="F2" s="5">
        <v>76</v>
      </c>
      <c r="G2" s="11">
        <v>73720000</v>
      </c>
    </row>
    <row r="3" spans="1:7" ht="16.5">
      <c r="A3" s="5" t="s">
        <v>33</v>
      </c>
      <c r="B3" s="5" t="s">
        <v>34</v>
      </c>
      <c r="C3" s="5" t="s">
        <v>35</v>
      </c>
      <c r="D3" s="5">
        <v>65</v>
      </c>
      <c r="E3" s="11">
        <v>1200000</v>
      </c>
      <c r="F3" s="5">
        <v>56</v>
      </c>
      <c r="G3" s="11">
        <v>67200000</v>
      </c>
    </row>
  </sheetData>
  <phoneticPr fontId="5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topLeftCell="A20" zoomScale="95" zoomScaleNormal="95" workbookViewId="0">
      <selection activeCell="B23" sqref="B23"/>
    </sheetView>
  </sheetViews>
  <sheetFormatPr defaultRowHeight="14.25"/>
  <cols>
    <col min="1" max="1" width="3" customWidth="1"/>
    <col min="2" max="2" width="9.5" bestFit="1" customWidth="1"/>
    <col min="3" max="8" width="14.75" bestFit="1" customWidth="1"/>
    <col min="9" max="9" width="17.375" bestFit="1" customWidth="1"/>
    <col min="10" max="10" width="19.375" bestFit="1" customWidth="1"/>
    <col min="11" max="12" width="24" customWidth="1"/>
  </cols>
  <sheetData>
    <row r="1" spans="1:12" ht="27" customHeight="1">
      <c r="A1" s="2"/>
      <c r="B1" s="15" t="s">
        <v>21</v>
      </c>
      <c r="C1" s="16"/>
      <c r="D1" s="16"/>
      <c r="E1" s="16"/>
      <c r="F1" s="16"/>
      <c r="G1" s="16"/>
      <c r="H1" s="16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2"/>
      <c r="J3" s="16" t="s">
        <v>29</v>
      </c>
      <c r="K3" s="16"/>
      <c r="L3" s="16"/>
    </row>
    <row r="4" spans="1:12" ht="27" customHeight="1">
      <c r="A4" s="2"/>
      <c r="B4" s="2" t="s">
        <v>30</v>
      </c>
      <c r="C4" s="2" t="s">
        <v>31</v>
      </c>
      <c r="D4" s="2" t="s">
        <v>32</v>
      </c>
      <c r="E4" s="2">
        <v>75</v>
      </c>
      <c r="F4" s="4">
        <v>1600000</v>
      </c>
      <c r="G4" s="2">
        <v>71</v>
      </c>
      <c r="H4" s="4">
        <f t="shared" ref="H4:H18" si="0">F4*G4</f>
        <v>113600000</v>
      </c>
      <c r="I4" s="2"/>
      <c r="J4" s="2"/>
      <c r="K4" s="2"/>
      <c r="L4" s="2"/>
    </row>
    <row r="5" spans="1:12" ht="33" customHeight="1">
      <c r="A5" s="2"/>
      <c r="B5" s="2" t="s">
        <v>33</v>
      </c>
      <c r="C5" s="2" t="s">
        <v>34</v>
      </c>
      <c r="D5" s="2" t="s">
        <v>35</v>
      </c>
      <c r="E5" s="2">
        <v>65</v>
      </c>
      <c r="F5" s="4">
        <v>1200000</v>
      </c>
      <c r="G5" s="2">
        <v>56</v>
      </c>
      <c r="H5" s="4">
        <f t="shared" si="0"/>
        <v>67200000</v>
      </c>
      <c r="I5" s="2"/>
      <c r="J5" s="17" t="s">
        <v>36</v>
      </c>
      <c r="K5" s="17"/>
      <c r="L5" s="17"/>
    </row>
    <row r="6" spans="1:12" ht="33" customHeight="1">
      <c r="A6" s="2"/>
      <c r="B6" s="2" t="s">
        <v>33</v>
      </c>
      <c r="C6" s="2" t="s">
        <v>37</v>
      </c>
      <c r="D6" s="2" t="s">
        <v>38</v>
      </c>
      <c r="E6" s="2">
        <v>78</v>
      </c>
      <c r="F6" s="4">
        <v>890000</v>
      </c>
      <c r="G6" s="2">
        <v>54</v>
      </c>
      <c r="H6" s="4">
        <f t="shared" si="0"/>
        <v>48060000</v>
      </c>
      <c r="I6" s="2"/>
      <c r="J6" s="17" t="s">
        <v>39</v>
      </c>
      <c r="K6" s="17"/>
      <c r="L6" s="17"/>
    </row>
    <row r="7" spans="1:12" ht="33" customHeight="1">
      <c r="A7" s="2"/>
      <c r="B7" s="2" t="s">
        <v>30</v>
      </c>
      <c r="C7" s="2" t="s">
        <v>40</v>
      </c>
      <c r="D7" s="2" t="s">
        <v>41</v>
      </c>
      <c r="E7" s="2">
        <v>75</v>
      </c>
      <c r="F7" s="4">
        <v>1500000</v>
      </c>
      <c r="G7" s="2">
        <v>73</v>
      </c>
      <c r="H7" s="4">
        <f t="shared" si="0"/>
        <v>109500000</v>
      </c>
      <c r="I7" s="2"/>
      <c r="J7" s="17" t="s">
        <v>42</v>
      </c>
      <c r="K7" s="17"/>
      <c r="L7" s="17"/>
    </row>
    <row r="8" spans="1:12" ht="33" customHeight="1">
      <c r="A8" s="2"/>
      <c r="B8" s="2" t="s">
        <v>43</v>
      </c>
      <c r="C8" s="2" t="s">
        <v>44</v>
      </c>
      <c r="D8" s="2" t="s">
        <v>45</v>
      </c>
      <c r="E8" s="2">
        <v>95</v>
      </c>
      <c r="F8" s="4">
        <v>1200000</v>
      </c>
      <c r="G8" s="2">
        <v>50</v>
      </c>
      <c r="H8" s="4">
        <f t="shared" si="0"/>
        <v>60000000</v>
      </c>
      <c r="I8" s="2"/>
      <c r="J8" s="17" t="s">
        <v>46</v>
      </c>
      <c r="K8" s="17"/>
      <c r="L8" s="17"/>
    </row>
    <row r="9" spans="1:12" ht="33" customHeight="1">
      <c r="A9" s="2"/>
      <c r="B9" s="2" t="s">
        <v>33</v>
      </c>
      <c r="C9" s="2" t="s">
        <v>34</v>
      </c>
      <c r="D9" s="2" t="s">
        <v>47</v>
      </c>
      <c r="E9" s="2">
        <v>45</v>
      </c>
      <c r="F9" s="4">
        <v>970000</v>
      </c>
      <c r="G9" s="2">
        <v>76</v>
      </c>
      <c r="H9" s="4">
        <f t="shared" si="0"/>
        <v>73720000</v>
      </c>
      <c r="I9" s="2"/>
      <c r="J9" s="17" t="s">
        <v>48</v>
      </c>
      <c r="K9" s="17"/>
      <c r="L9" s="17"/>
    </row>
    <row r="10" spans="1:12" ht="33" customHeight="1">
      <c r="A10" s="2"/>
      <c r="B10" s="2" t="s">
        <v>43</v>
      </c>
      <c r="C10" s="2" t="s">
        <v>37</v>
      </c>
      <c r="D10" s="2" t="s">
        <v>49</v>
      </c>
      <c r="E10" s="2">
        <v>55</v>
      </c>
      <c r="F10" s="4">
        <v>1540000</v>
      </c>
      <c r="G10" s="2">
        <v>42</v>
      </c>
      <c r="H10" s="4">
        <f t="shared" si="0"/>
        <v>64680000</v>
      </c>
      <c r="I10" s="2"/>
      <c r="J10" s="17" t="s">
        <v>50</v>
      </c>
      <c r="K10" s="17"/>
      <c r="L10" s="17"/>
    </row>
    <row r="11" spans="1:12" ht="33" customHeight="1">
      <c r="A11" s="2"/>
      <c r="B11" s="2" t="s">
        <v>30</v>
      </c>
      <c r="C11" s="2" t="s">
        <v>31</v>
      </c>
      <c r="D11" s="2" t="s">
        <v>51</v>
      </c>
      <c r="E11" s="2">
        <v>95</v>
      </c>
      <c r="F11" s="4">
        <v>1370000</v>
      </c>
      <c r="G11" s="2">
        <v>46</v>
      </c>
      <c r="H11" s="4">
        <f t="shared" si="0"/>
        <v>63020000</v>
      </c>
      <c r="I11" s="2"/>
      <c r="J11" s="17" t="s">
        <v>52</v>
      </c>
      <c r="K11" s="17"/>
      <c r="L11" s="17"/>
    </row>
    <row r="12" spans="1:12" ht="33" customHeight="1">
      <c r="A12" s="2"/>
      <c r="B12" s="2" t="s">
        <v>30</v>
      </c>
      <c r="C12" s="2" t="s">
        <v>34</v>
      </c>
      <c r="D12" s="2" t="s">
        <v>53</v>
      </c>
      <c r="E12" s="2">
        <v>65</v>
      </c>
      <c r="F12" s="4">
        <v>1400000</v>
      </c>
      <c r="G12" s="2">
        <v>61</v>
      </c>
      <c r="H12" s="4">
        <f t="shared" si="0"/>
        <v>85400000</v>
      </c>
      <c r="I12" s="2"/>
      <c r="J12" s="17" t="s">
        <v>54</v>
      </c>
      <c r="K12" s="17"/>
      <c r="L12" s="17"/>
    </row>
    <row r="13" spans="1:12" ht="33" customHeight="1">
      <c r="A13" s="2"/>
      <c r="B13" s="2" t="s">
        <v>33</v>
      </c>
      <c r="C13" s="2" t="s">
        <v>55</v>
      </c>
      <c r="D13" s="2" t="s">
        <v>56</v>
      </c>
      <c r="E13" s="2">
        <v>45</v>
      </c>
      <c r="F13" s="4">
        <v>780000</v>
      </c>
      <c r="G13" s="2">
        <v>35</v>
      </c>
      <c r="H13" s="4">
        <f t="shared" si="0"/>
        <v>27300000</v>
      </c>
      <c r="I13" s="2"/>
      <c r="J13" s="17" t="s">
        <v>57</v>
      </c>
      <c r="K13" s="17"/>
      <c r="L13" s="17"/>
    </row>
    <row r="14" spans="1:12" ht="27" customHeight="1">
      <c r="A14" s="2"/>
      <c r="B14" s="2" t="s">
        <v>33</v>
      </c>
      <c r="C14" s="2" t="s">
        <v>44</v>
      </c>
      <c r="D14" s="2" t="s">
        <v>58</v>
      </c>
      <c r="E14" s="2">
        <v>99</v>
      </c>
      <c r="F14" s="4">
        <v>1000000</v>
      </c>
      <c r="G14" s="2">
        <v>75</v>
      </c>
      <c r="H14" s="4">
        <f t="shared" si="0"/>
        <v>75000000</v>
      </c>
      <c r="I14" s="2"/>
      <c r="J14" s="2"/>
      <c r="K14" s="2"/>
      <c r="L14" s="2"/>
    </row>
    <row r="15" spans="1:12" ht="27" customHeight="1">
      <c r="A15" s="2"/>
      <c r="B15" s="2" t="s">
        <v>30</v>
      </c>
      <c r="C15" s="2" t="s">
        <v>34</v>
      </c>
      <c r="D15" s="2" t="s">
        <v>59</v>
      </c>
      <c r="E15" s="2">
        <v>33</v>
      </c>
      <c r="F15" s="4">
        <v>1740000</v>
      </c>
      <c r="G15" s="2">
        <v>68</v>
      </c>
      <c r="H15" s="4">
        <f t="shared" si="0"/>
        <v>118320000</v>
      </c>
      <c r="I15" s="2"/>
      <c r="J15" s="2"/>
      <c r="K15" s="2"/>
      <c r="L15" s="2"/>
    </row>
    <row r="16" spans="1:12" ht="27" customHeight="1">
      <c r="A16" s="2"/>
      <c r="B16" s="2" t="s">
        <v>33</v>
      </c>
      <c r="C16" s="2" t="s">
        <v>55</v>
      </c>
      <c r="D16" s="2" t="s">
        <v>60</v>
      </c>
      <c r="E16" s="2">
        <v>65</v>
      </c>
      <c r="F16" s="4">
        <v>980000</v>
      </c>
      <c r="G16" s="2">
        <v>63</v>
      </c>
      <c r="H16" s="4">
        <f t="shared" si="0"/>
        <v>61740000</v>
      </c>
      <c r="I16" s="2"/>
      <c r="J16" s="17" t="s">
        <v>61</v>
      </c>
      <c r="K16" s="17"/>
      <c r="L16" s="17"/>
    </row>
    <row r="17" spans="1:12" ht="27" customHeight="1">
      <c r="A17" s="2"/>
      <c r="B17" s="2" t="s">
        <v>30</v>
      </c>
      <c r="C17" s="2" t="s">
        <v>40</v>
      </c>
      <c r="D17" s="2" t="s">
        <v>62</v>
      </c>
      <c r="E17" s="2">
        <v>85</v>
      </c>
      <c r="F17" s="4">
        <v>1600000</v>
      </c>
      <c r="G17" s="2">
        <v>85</v>
      </c>
      <c r="H17" s="4">
        <f t="shared" si="0"/>
        <v>136000000</v>
      </c>
      <c r="I17" s="2"/>
      <c r="J17" s="17"/>
      <c r="K17" s="17"/>
      <c r="L17" s="17"/>
    </row>
    <row r="18" spans="1:12" ht="27" customHeight="1">
      <c r="A18" s="2"/>
      <c r="B18" s="2" t="s">
        <v>43</v>
      </c>
      <c r="C18" s="2" t="s">
        <v>31</v>
      </c>
      <c r="D18" s="2" t="s">
        <v>63</v>
      </c>
      <c r="E18" s="2">
        <v>75</v>
      </c>
      <c r="F18" s="4">
        <v>1200000</v>
      </c>
      <c r="G18" s="2">
        <v>45</v>
      </c>
      <c r="H18" s="4">
        <f t="shared" si="0"/>
        <v>54000000</v>
      </c>
      <c r="I18" s="2"/>
      <c r="J18" s="17"/>
      <c r="K18" s="17"/>
      <c r="L18" s="17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7" t="s">
        <v>24</v>
      </c>
      <c r="C21" s="5" t="s">
        <v>76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8"/>
      <c r="C23" s="9" t="s">
        <v>22</v>
      </c>
      <c r="D23" s="9" t="s">
        <v>80</v>
      </c>
      <c r="E23" s="8"/>
      <c r="F23" s="8"/>
      <c r="G23" s="5"/>
      <c r="H23" s="5"/>
      <c r="I23" s="5"/>
      <c r="J23" s="5"/>
      <c r="K23" s="2"/>
      <c r="L23" s="2"/>
    </row>
    <row r="24" spans="1:12" ht="27" customHeight="1">
      <c r="A24" s="2"/>
      <c r="B24" s="8"/>
      <c r="C24" s="18" t="s">
        <v>30</v>
      </c>
      <c r="D24" s="19"/>
      <c r="E24" s="18" t="s">
        <v>33</v>
      </c>
      <c r="F24" s="19"/>
      <c r="G24" s="5"/>
      <c r="H24" s="5"/>
      <c r="I24" s="5"/>
      <c r="J24" s="5"/>
      <c r="K24" s="2"/>
      <c r="L24" s="2"/>
    </row>
    <row r="25" spans="1:12" ht="27" customHeight="1">
      <c r="A25" s="2"/>
      <c r="B25" s="9" t="s">
        <v>23</v>
      </c>
      <c r="C25" s="10" t="s">
        <v>78</v>
      </c>
      <c r="D25" s="10" t="s">
        <v>79</v>
      </c>
      <c r="E25" s="10" t="s">
        <v>78</v>
      </c>
      <c r="F25" s="10" t="s">
        <v>79</v>
      </c>
      <c r="G25" s="5"/>
      <c r="H25" s="5"/>
      <c r="I25" s="5"/>
      <c r="J25" s="5"/>
      <c r="K25" s="2"/>
      <c r="L25" s="2"/>
    </row>
    <row r="26" spans="1:12" ht="27" customHeight="1">
      <c r="A26" s="2"/>
      <c r="B26" s="8" t="s">
        <v>37</v>
      </c>
      <c r="C26" s="20" t="s">
        <v>81</v>
      </c>
      <c r="D26" s="20" t="s">
        <v>81</v>
      </c>
      <c r="E26" s="20">
        <v>78</v>
      </c>
      <c r="F26" s="20">
        <v>54</v>
      </c>
      <c r="G26" s="5"/>
      <c r="H26" s="5"/>
      <c r="I26" s="5"/>
      <c r="J26" s="5"/>
      <c r="K26" s="2"/>
      <c r="L26" s="2"/>
    </row>
    <row r="27" spans="1:12" ht="27" customHeight="1">
      <c r="A27" s="2"/>
      <c r="B27" s="8" t="s">
        <v>44</v>
      </c>
      <c r="C27" s="20" t="s">
        <v>81</v>
      </c>
      <c r="D27" s="20" t="s">
        <v>81</v>
      </c>
      <c r="E27" s="20">
        <v>99</v>
      </c>
      <c r="F27" s="20">
        <v>75</v>
      </c>
      <c r="G27" s="5"/>
      <c r="H27" s="5"/>
      <c r="I27" s="5"/>
      <c r="J27" s="5"/>
      <c r="K27" s="2"/>
      <c r="L27" s="2"/>
    </row>
    <row r="28" spans="1:12" ht="27" customHeight="1">
      <c r="A28" s="2"/>
      <c r="B28" s="8" t="s">
        <v>55</v>
      </c>
      <c r="C28" s="20" t="s">
        <v>81</v>
      </c>
      <c r="D28" s="20" t="s">
        <v>81</v>
      </c>
      <c r="E28" s="20">
        <v>110</v>
      </c>
      <c r="F28" s="20">
        <v>49</v>
      </c>
      <c r="G28" s="5"/>
      <c r="H28" s="5"/>
      <c r="I28" s="5"/>
      <c r="J28" s="5"/>
      <c r="K28" s="2"/>
      <c r="L28" s="2"/>
    </row>
    <row r="29" spans="1:12" ht="27" customHeight="1">
      <c r="A29" s="2"/>
      <c r="B29" s="8" t="s">
        <v>40</v>
      </c>
      <c r="C29" s="20">
        <v>160</v>
      </c>
      <c r="D29" s="20">
        <v>79</v>
      </c>
      <c r="E29" s="20" t="s">
        <v>81</v>
      </c>
      <c r="F29" s="20" t="s">
        <v>81</v>
      </c>
      <c r="G29" s="5"/>
      <c r="H29" s="5"/>
      <c r="I29" s="5"/>
      <c r="J29" s="5"/>
      <c r="K29" s="2"/>
      <c r="L29" s="2"/>
    </row>
    <row r="30" spans="1:12" ht="27" customHeight="1">
      <c r="A30" s="2"/>
      <c r="B30" s="8" t="s">
        <v>34</v>
      </c>
      <c r="C30" s="20">
        <v>98</v>
      </c>
      <c r="D30" s="20">
        <v>64.5</v>
      </c>
      <c r="E30" s="20">
        <v>110</v>
      </c>
      <c r="F30" s="20">
        <v>66</v>
      </c>
      <c r="G30" s="5"/>
      <c r="H30" s="5"/>
      <c r="I30" s="5"/>
      <c r="J30" s="5"/>
      <c r="K30" s="2"/>
      <c r="L30" s="2"/>
    </row>
    <row r="31" spans="1:12" ht="27" customHeight="1">
      <c r="A31" s="2"/>
      <c r="B31" s="8" t="s">
        <v>31</v>
      </c>
      <c r="C31" s="20">
        <v>170</v>
      </c>
      <c r="D31" s="20">
        <v>58.5</v>
      </c>
      <c r="E31" s="20" t="s">
        <v>81</v>
      </c>
      <c r="F31" s="20" t="s">
        <v>81</v>
      </c>
      <c r="G31" s="5"/>
      <c r="H31" s="5"/>
      <c r="I31" s="5"/>
      <c r="J31" s="5"/>
      <c r="K31" s="2"/>
      <c r="L31" s="2"/>
    </row>
    <row r="32" spans="1:12" ht="27" customHeight="1">
      <c r="A32" s="2"/>
      <c r="B32" s="8" t="s">
        <v>77</v>
      </c>
      <c r="C32" s="20">
        <v>428</v>
      </c>
      <c r="D32" s="20">
        <v>67.333333333333329</v>
      </c>
      <c r="E32" s="20">
        <v>397</v>
      </c>
      <c r="F32" s="20">
        <v>59.833333333333336</v>
      </c>
      <c r="G32" s="5"/>
      <c r="H32" s="5"/>
      <c r="I32" s="5"/>
      <c r="J32" s="5"/>
      <c r="K32" s="2"/>
      <c r="L32" s="2"/>
    </row>
    <row r="33" spans="1:12" ht="27" customHeight="1">
      <c r="A33" s="2"/>
      <c r="B33" s="5"/>
      <c r="C33" s="5"/>
      <c r="D33" s="5"/>
      <c r="E33" s="2"/>
      <c r="F33" s="2"/>
      <c r="G33" s="2"/>
      <c r="H33" s="2"/>
      <c r="I33" s="2"/>
      <c r="J33" s="2"/>
      <c r="K33" s="2"/>
      <c r="L33" s="2"/>
    </row>
    <row r="34" spans="1:12" ht="27" customHeight="1">
      <c r="A34" s="2"/>
      <c r="B34" s="5"/>
      <c r="C34" s="5"/>
      <c r="D34" s="5"/>
      <c r="E34" s="2"/>
      <c r="F34" s="2"/>
      <c r="G34" s="2"/>
      <c r="H34" s="2"/>
      <c r="I34" s="2"/>
      <c r="J34" s="2"/>
      <c r="K34" s="2"/>
      <c r="L34" s="2"/>
    </row>
    <row r="35" spans="1:12" ht="27" customHeight="1">
      <c r="A35" s="2"/>
      <c r="B35" s="5"/>
      <c r="C35" s="5"/>
      <c r="D35" s="5"/>
      <c r="E35" s="2"/>
      <c r="F35" s="2"/>
      <c r="G35" s="2"/>
      <c r="H35" s="2"/>
      <c r="I35" s="2"/>
      <c r="J35" s="2"/>
      <c r="K35" s="2"/>
      <c r="L35" s="2"/>
    </row>
    <row r="36" spans="1:12" ht="27" customHeight="1">
      <c r="A36" s="2"/>
      <c r="B36" s="5"/>
      <c r="C36" s="5"/>
      <c r="D36" s="5"/>
      <c r="E36" s="2"/>
      <c r="F36" s="2"/>
      <c r="G36" s="2"/>
      <c r="H36" s="2"/>
      <c r="I36" s="2"/>
      <c r="J36" s="2"/>
      <c r="K36" s="2"/>
      <c r="L36" s="2"/>
    </row>
    <row r="37" spans="1:12" ht="27" customHeight="1">
      <c r="A37" s="2"/>
      <c r="B37" s="5"/>
      <c r="C37" s="5"/>
      <c r="D37" s="5"/>
      <c r="E37" s="2"/>
      <c r="F37" s="2"/>
      <c r="G37" s="2"/>
      <c r="H37" s="2"/>
      <c r="I37" s="2"/>
      <c r="J37" s="2"/>
      <c r="K37" s="2"/>
      <c r="L37" s="2"/>
    </row>
    <row r="38" spans="1:12" ht="27" customHeight="1">
      <c r="A38" s="2"/>
      <c r="B38" s="5"/>
      <c r="C38" s="5"/>
      <c r="D38" s="5"/>
      <c r="E38" s="2"/>
      <c r="F38" s="2"/>
      <c r="G38" s="2"/>
      <c r="H38" s="2"/>
      <c r="I38" s="2"/>
      <c r="J38" s="2"/>
      <c r="K38" s="2"/>
      <c r="L38" s="2"/>
    </row>
    <row r="39" spans="1:12" ht="27" customHeight="1">
      <c r="A39" s="2"/>
      <c r="B39" s="5"/>
      <c r="C39" s="5"/>
      <c r="D39" s="5"/>
      <c r="E39" s="2"/>
      <c r="F39" s="2"/>
      <c r="G39" s="2"/>
      <c r="H39" s="2"/>
      <c r="I39" s="2"/>
      <c r="J39" s="2"/>
      <c r="K39" s="2"/>
      <c r="L39" s="2"/>
    </row>
    <row r="40" spans="1:12" ht="27" customHeight="1">
      <c r="A40" s="2"/>
      <c r="B40" s="5"/>
      <c r="C40" s="5"/>
      <c r="D40" s="5"/>
      <c r="E40" s="2"/>
      <c r="F40" s="2"/>
      <c r="G40" s="2"/>
      <c r="H40" s="2"/>
      <c r="I40" s="2"/>
      <c r="J40" s="2"/>
      <c r="K40" s="2"/>
      <c r="L40" s="2"/>
    </row>
  </sheetData>
  <mergeCells count="14">
    <mergeCell ref="C24:D24"/>
    <mergeCell ref="E24:F24"/>
    <mergeCell ref="J13:L13"/>
    <mergeCell ref="J16:L18"/>
    <mergeCell ref="J8:L8"/>
    <mergeCell ref="J9:L9"/>
    <mergeCell ref="J10:L10"/>
    <mergeCell ref="J11:L11"/>
    <mergeCell ref="J12:L12"/>
    <mergeCell ref="B1:H1"/>
    <mergeCell ref="J3:L3"/>
    <mergeCell ref="J5:L5"/>
    <mergeCell ref="J6:L6"/>
    <mergeCell ref="J7:L7"/>
  </mergeCells>
  <phoneticPr fontId="5" type="noConversion"/>
  <pageMargins left="0.7" right="0.7" top="0.75" bottom="0.75" header="0.3" footer="0.3"/>
  <pageSetup paperSize="9" scale="55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workbookViewId="0"/>
  </sheetViews>
  <sheetFormatPr defaultRowHeight="14.25"/>
  <cols>
    <col min="1" max="1" width="3" customWidth="1"/>
    <col min="2" max="2" width="20" customWidth="1"/>
    <col min="3" max="4" width="17" customWidth="1"/>
    <col min="5" max="8" width="19" customWidth="1"/>
    <col min="9" max="9" width="3" customWidth="1"/>
    <col min="10" max="12" width="24" customWidth="1"/>
  </cols>
  <sheetData>
    <row r="1" spans="1:12" ht="27" customHeight="1">
      <c r="A1" s="2"/>
      <c r="B1" s="15" t="s">
        <v>64</v>
      </c>
      <c r="C1" s="16"/>
      <c r="D1" s="16"/>
      <c r="E1" s="16"/>
      <c r="F1" s="16"/>
      <c r="G1" s="16"/>
      <c r="H1" s="16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2"/>
      <c r="J3" s="16" t="s">
        <v>65</v>
      </c>
      <c r="K3" s="16"/>
      <c r="L3" s="16"/>
    </row>
    <row r="4" spans="1:12" ht="27" customHeight="1">
      <c r="A4" s="2"/>
      <c r="B4" s="2" t="s">
        <v>30</v>
      </c>
      <c r="C4" s="2" t="s">
        <v>34</v>
      </c>
      <c r="D4" s="2" t="s">
        <v>32</v>
      </c>
      <c r="E4" s="2">
        <v>75</v>
      </c>
      <c r="F4" s="4">
        <v>1600000</v>
      </c>
      <c r="G4" s="2">
        <v>71</v>
      </c>
      <c r="H4" s="4">
        <f t="shared" ref="H4:H18" si="0">F4*G4</f>
        <v>113600000</v>
      </c>
      <c r="I4" s="2"/>
      <c r="J4" s="2"/>
      <c r="K4" s="2"/>
      <c r="L4" s="2"/>
    </row>
    <row r="5" spans="1:12" ht="33" customHeight="1">
      <c r="A5" s="2"/>
      <c r="B5" s="2" t="s">
        <v>33</v>
      </c>
      <c r="C5" s="2" t="s">
        <v>34</v>
      </c>
      <c r="D5" s="2" t="s">
        <v>66</v>
      </c>
      <c r="E5" s="2">
        <v>83</v>
      </c>
      <c r="F5" s="4">
        <v>2450000</v>
      </c>
      <c r="G5" s="2">
        <v>76</v>
      </c>
      <c r="H5" s="4">
        <f t="shared" si="0"/>
        <v>186200000</v>
      </c>
      <c r="I5" s="2"/>
      <c r="J5" s="17" t="s">
        <v>67</v>
      </c>
      <c r="K5" s="17"/>
      <c r="L5" s="17"/>
    </row>
    <row r="6" spans="1:12" ht="33" customHeight="1">
      <c r="A6" s="2"/>
      <c r="B6" s="2" t="s">
        <v>43</v>
      </c>
      <c r="C6" s="2" t="s">
        <v>34</v>
      </c>
      <c r="D6" s="2" t="s">
        <v>63</v>
      </c>
      <c r="E6" s="2">
        <v>75</v>
      </c>
      <c r="F6" s="4">
        <v>1200000</v>
      </c>
      <c r="G6" s="2">
        <v>45</v>
      </c>
      <c r="H6" s="4">
        <f t="shared" si="0"/>
        <v>54000000</v>
      </c>
      <c r="I6" s="2"/>
      <c r="J6" s="17" t="s">
        <v>68</v>
      </c>
      <c r="K6" s="17"/>
      <c r="L6" s="17"/>
    </row>
    <row r="7" spans="1:12" ht="33" customHeight="1">
      <c r="A7" s="2"/>
      <c r="B7" s="2" t="s">
        <v>33</v>
      </c>
      <c r="C7" s="2" t="s">
        <v>34</v>
      </c>
      <c r="D7" s="2" t="s">
        <v>56</v>
      </c>
      <c r="E7" s="2">
        <v>15</v>
      </c>
      <c r="F7" s="4">
        <v>780000</v>
      </c>
      <c r="G7" s="2">
        <v>15</v>
      </c>
      <c r="H7" s="4">
        <f t="shared" si="0"/>
        <v>11700000</v>
      </c>
      <c r="I7" s="2"/>
      <c r="J7" s="17" t="s">
        <v>69</v>
      </c>
      <c r="K7" s="17"/>
      <c r="L7" s="17"/>
    </row>
    <row r="8" spans="1:12" ht="33" customHeight="1">
      <c r="A8" s="2"/>
      <c r="B8" s="2" t="s">
        <v>30</v>
      </c>
      <c r="C8" s="2" t="s">
        <v>34</v>
      </c>
      <c r="D8" s="2" t="s">
        <v>53</v>
      </c>
      <c r="E8" s="2">
        <v>65</v>
      </c>
      <c r="F8" s="4">
        <v>1400000</v>
      </c>
      <c r="G8" s="2">
        <v>61</v>
      </c>
      <c r="H8" s="4">
        <f t="shared" si="0"/>
        <v>85400000</v>
      </c>
      <c r="I8" s="2"/>
      <c r="J8" s="17" t="s">
        <v>70</v>
      </c>
      <c r="K8" s="17"/>
      <c r="L8" s="17"/>
    </row>
    <row r="9" spans="1:12" ht="33" customHeight="1">
      <c r="A9" s="2"/>
      <c r="B9" s="2" t="s">
        <v>33</v>
      </c>
      <c r="C9" s="2" t="s">
        <v>34</v>
      </c>
      <c r="D9" s="2" t="s">
        <v>60</v>
      </c>
      <c r="E9" s="2">
        <v>65</v>
      </c>
      <c r="F9" s="4">
        <v>980000</v>
      </c>
      <c r="G9" s="2">
        <v>63</v>
      </c>
      <c r="H9" s="4">
        <f t="shared" si="0"/>
        <v>61740000</v>
      </c>
      <c r="I9" s="2"/>
      <c r="J9" s="17" t="s">
        <v>71</v>
      </c>
      <c r="K9" s="17"/>
      <c r="L9" s="17"/>
    </row>
    <row r="10" spans="1:12" ht="33" customHeight="1">
      <c r="A10" s="2"/>
      <c r="B10" s="2" t="s">
        <v>43</v>
      </c>
      <c r="C10" s="2" t="s">
        <v>34</v>
      </c>
      <c r="D10" s="2" t="s">
        <v>49</v>
      </c>
      <c r="E10" s="2">
        <v>55</v>
      </c>
      <c r="F10" s="4">
        <v>1540000</v>
      </c>
      <c r="G10" s="2">
        <v>42</v>
      </c>
      <c r="H10" s="4">
        <f t="shared" si="0"/>
        <v>64680000</v>
      </c>
      <c r="I10" s="2"/>
      <c r="J10" s="17" t="s">
        <v>72</v>
      </c>
      <c r="K10" s="17"/>
      <c r="L10" s="17"/>
    </row>
    <row r="11" spans="1:12" ht="33" customHeight="1">
      <c r="A11" s="2"/>
      <c r="B11" s="2" t="s">
        <v>30</v>
      </c>
      <c r="C11" s="2" t="s">
        <v>34</v>
      </c>
      <c r="D11" s="2" t="s">
        <v>62</v>
      </c>
      <c r="E11" s="2">
        <v>85</v>
      </c>
      <c r="F11" s="4">
        <v>1600000</v>
      </c>
      <c r="G11" s="2">
        <v>85</v>
      </c>
      <c r="H11" s="4">
        <f t="shared" si="0"/>
        <v>136000000</v>
      </c>
      <c r="I11" s="2"/>
      <c r="J11" s="17" t="s">
        <v>73</v>
      </c>
      <c r="K11" s="17"/>
      <c r="L11" s="17"/>
    </row>
    <row r="12" spans="1:12" ht="33" customHeight="1">
      <c r="A12" s="2"/>
      <c r="B12" s="2" t="s">
        <v>33</v>
      </c>
      <c r="C12" s="2" t="s">
        <v>34</v>
      </c>
      <c r="D12" s="2" t="s">
        <v>58</v>
      </c>
      <c r="E12" s="2">
        <v>99</v>
      </c>
      <c r="F12" s="4">
        <v>1000000</v>
      </c>
      <c r="G12" s="2">
        <v>75</v>
      </c>
      <c r="H12" s="4">
        <f t="shared" si="0"/>
        <v>75000000</v>
      </c>
      <c r="I12" s="2"/>
      <c r="J12" s="17" t="s">
        <v>74</v>
      </c>
      <c r="K12" s="17"/>
      <c r="L12" s="17"/>
    </row>
    <row r="13" spans="1:12" ht="33" customHeight="1">
      <c r="A13" s="2"/>
      <c r="B13" s="2" t="s">
        <v>43</v>
      </c>
      <c r="C13" s="2" t="s">
        <v>34</v>
      </c>
      <c r="D13" s="2" t="s">
        <v>45</v>
      </c>
      <c r="E13" s="2">
        <v>95</v>
      </c>
      <c r="F13" s="4">
        <v>1200000</v>
      </c>
      <c r="G13" s="2">
        <v>50</v>
      </c>
      <c r="H13" s="4">
        <f t="shared" si="0"/>
        <v>60000000</v>
      </c>
      <c r="I13" s="2"/>
      <c r="J13" s="17" t="s">
        <v>75</v>
      </c>
      <c r="K13" s="17"/>
      <c r="L13" s="17"/>
    </row>
    <row r="14" spans="1:12" ht="27" customHeight="1">
      <c r="A14" s="2"/>
      <c r="B14" s="2" t="s">
        <v>30</v>
      </c>
      <c r="C14" s="2" t="s">
        <v>34</v>
      </c>
      <c r="D14" s="2" t="s">
        <v>59</v>
      </c>
      <c r="E14" s="2">
        <v>10</v>
      </c>
      <c r="F14" s="4">
        <v>1740000</v>
      </c>
      <c r="G14" s="2">
        <v>10</v>
      </c>
      <c r="H14" s="4">
        <f t="shared" si="0"/>
        <v>17400000</v>
      </c>
      <c r="I14" s="2"/>
      <c r="J14" s="2"/>
      <c r="K14" s="2"/>
      <c r="L14" s="2"/>
    </row>
    <row r="15" spans="1:12" ht="27" customHeight="1">
      <c r="A15" s="2"/>
      <c r="B15" s="2" t="s">
        <v>33</v>
      </c>
      <c r="C15" s="2" t="s">
        <v>34</v>
      </c>
      <c r="D15" s="2" t="s">
        <v>35</v>
      </c>
      <c r="E15" s="2">
        <v>65</v>
      </c>
      <c r="F15" s="4">
        <v>1200000</v>
      </c>
      <c r="G15" s="2">
        <v>56</v>
      </c>
      <c r="H15" s="4">
        <f t="shared" si="0"/>
        <v>67200000</v>
      </c>
      <c r="I15" s="2"/>
      <c r="J15" s="2"/>
      <c r="K15" s="2"/>
      <c r="L15" s="2"/>
    </row>
    <row r="16" spans="1:12" ht="27" customHeight="1">
      <c r="A16" s="2"/>
      <c r="B16" s="2" t="s">
        <v>30</v>
      </c>
      <c r="C16" s="2" t="s">
        <v>34</v>
      </c>
      <c r="D16" s="2" t="s">
        <v>51</v>
      </c>
      <c r="E16" s="2">
        <v>95</v>
      </c>
      <c r="F16" s="4">
        <v>1370000</v>
      </c>
      <c r="G16" s="2">
        <v>46</v>
      </c>
      <c r="H16" s="4">
        <f t="shared" si="0"/>
        <v>63020000</v>
      </c>
      <c r="I16" s="2"/>
      <c r="J16" s="17" t="s">
        <v>61</v>
      </c>
      <c r="K16" s="17"/>
      <c r="L16" s="17"/>
    </row>
    <row r="17" spans="1:12" ht="27" customHeight="1">
      <c r="A17" s="2"/>
      <c r="B17" s="2" t="s">
        <v>33</v>
      </c>
      <c r="C17" s="2" t="s">
        <v>34</v>
      </c>
      <c r="D17" s="2" t="s">
        <v>38</v>
      </c>
      <c r="E17" s="2">
        <v>78</v>
      </c>
      <c r="F17" s="4">
        <v>890000</v>
      </c>
      <c r="G17" s="2">
        <v>54</v>
      </c>
      <c r="H17" s="4">
        <f t="shared" si="0"/>
        <v>48060000</v>
      </c>
      <c r="I17" s="2"/>
      <c r="J17" s="17"/>
      <c r="K17" s="17"/>
      <c r="L17" s="17"/>
    </row>
    <row r="18" spans="1:12" ht="27" customHeight="1">
      <c r="A18" s="2"/>
      <c r="B18" s="2" t="s">
        <v>30</v>
      </c>
      <c r="C18" s="2" t="s">
        <v>34</v>
      </c>
      <c r="D18" s="2" t="s">
        <v>41</v>
      </c>
      <c r="E18" s="2">
        <v>75</v>
      </c>
      <c r="F18" s="4">
        <v>1500000</v>
      </c>
      <c r="G18" s="2">
        <v>73</v>
      </c>
      <c r="H18" s="4">
        <f t="shared" si="0"/>
        <v>109500000</v>
      </c>
      <c r="I18" s="2"/>
      <c r="J18" s="17"/>
      <c r="K18" s="17"/>
      <c r="L18" s="17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12">
    <mergeCell ref="J13:L13"/>
    <mergeCell ref="J16:L18"/>
    <mergeCell ref="J8:L8"/>
    <mergeCell ref="J9:L9"/>
    <mergeCell ref="J10:L10"/>
    <mergeCell ref="J11:L11"/>
    <mergeCell ref="J12:L12"/>
    <mergeCell ref="B1:H1"/>
    <mergeCell ref="J3:L3"/>
    <mergeCell ref="J5:L5"/>
    <mergeCell ref="J6:L6"/>
    <mergeCell ref="J7:L7"/>
  </mergeCells>
  <phoneticPr fontId="5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0"/>
  <sheetViews>
    <sheetView topLeftCell="A19" zoomScale="95" zoomScaleNormal="95" workbookViewId="0">
      <selection activeCell="B21" sqref="B21"/>
    </sheetView>
  </sheetViews>
  <sheetFormatPr defaultRowHeight="14.25"/>
  <cols>
    <col min="1" max="1" width="3" customWidth="1"/>
    <col min="2" max="2" width="12.625" bestFit="1" customWidth="1"/>
    <col min="3" max="5" width="11.125" bestFit="1" customWidth="1"/>
    <col min="6" max="6" width="9.75" bestFit="1" customWidth="1"/>
    <col min="7" max="8" width="19" customWidth="1"/>
    <col min="9" max="9" width="3" customWidth="1"/>
    <col min="10" max="12" width="24" customWidth="1"/>
  </cols>
  <sheetData>
    <row r="1" spans="1:12" ht="27" customHeight="1">
      <c r="A1" s="2"/>
      <c r="B1" s="15" t="s">
        <v>64</v>
      </c>
      <c r="C1" s="16"/>
      <c r="D1" s="16"/>
      <c r="E1" s="16"/>
      <c r="F1" s="16"/>
      <c r="G1" s="16"/>
      <c r="H1" s="16"/>
      <c r="I1" s="2"/>
      <c r="J1" s="2"/>
      <c r="K1" s="2"/>
      <c r="L1" s="2"/>
    </row>
    <row r="2" spans="1:12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7" customHeight="1">
      <c r="A3" s="2"/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2"/>
      <c r="J3" s="16" t="s">
        <v>65</v>
      </c>
      <c r="K3" s="16"/>
      <c r="L3" s="16"/>
    </row>
    <row r="4" spans="1:12" ht="27" customHeight="1">
      <c r="A4" s="2"/>
      <c r="B4" s="2" t="s">
        <v>30</v>
      </c>
      <c r="C4" s="2" t="s">
        <v>34</v>
      </c>
      <c r="D4" s="2" t="s">
        <v>32</v>
      </c>
      <c r="E4" s="2">
        <v>75</v>
      </c>
      <c r="F4" s="4">
        <v>1600000</v>
      </c>
      <c r="G4" s="2">
        <v>71</v>
      </c>
      <c r="H4" s="4">
        <f t="shared" ref="H4:H18" si="0">F4*G4</f>
        <v>113600000</v>
      </c>
      <c r="I4" s="2"/>
      <c r="J4" s="2"/>
      <c r="K4" s="2"/>
      <c r="L4" s="2"/>
    </row>
    <row r="5" spans="1:12" ht="33" customHeight="1">
      <c r="A5" s="2"/>
      <c r="B5" s="2" t="s">
        <v>33</v>
      </c>
      <c r="C5" s="2" t="s">
        <v>34</v>
      </c>
      <c r="D5" s="2" t="s">
        <v>66</v>
      </c>
      <c r="E5" s="2">
        <v>83</v>
      </c>
      <c r="F5" s="4">
        <v>2450000</v>
      </c>
      <c r="G5" s="2">
        <v>76</v>
      </c>
      <c r="H5" s="4">
        <f t="shared" si="0"/>
        <v>186200000</v>
      </c>
      <c r="I5" s="2"/>
      <c r="J5" s="17" t="s">
        <v>67</v>
      </c>
      <c r="K5" s="17"/>
      <c r="L5" s="17"/>
    </row>
    <row r="6" spans="1:12" ht="33" customHeight="1">
      <c r="A6" s="2"/>
      <c r="B6" s="2" t="s">
        <v>43</v>
      </c>
      <c r="C6" s="2" t="s">
        <v>34</v>
      </c>
      <c r="D6" s="2" t="s">
        <v>63</v>
      </c>
      <c r="E6" s="2">
        <v>75</v>
      </c>
      <c r="F6" s="4">
        <v>1200000</v>
      </c>
      <c r="G6" s="2">
        <v>45</v>
      </c>
      <c r="H6" s="4">
        <f t="shared" si="0"/>
        <v>54000000</v>
      </c>
      <c r="I6" s="2"/>
      <c r="J6" s="17" t="s">
        <v>68</v>
      </c>
      <c r="K6" s="17"/>
      <c r="L6" s="17"/>
    </row>
    <row r="7" spans="1:12" ht="33" customHeight="1">
      <c r="A7" s="2"/>
      <c r="B7" s="2" t="s">
        <v>33</v>
      </c>
      <c r="C7" s="2" t="s">
        <v>34</v>
      </c>
      <c r="D7" s="2" t="s">
        <v>56</v>
      </c>
      <c r="E7" s="2">
        <v>15</v>
      </c>
      <c r="F7" s="4">
        <v>780000</v>
      </c>
      <c r="G7" s="2">
        <v>15</v>
      </c>
      <c r="H7" s="4">
        <f t="shared" si="0"/>
        <v>11700000</v>
      </c>
      <c r="I7" s="2"/>
      <c r="J7" s="17" t="s">
        <v>69</v>
      </c>
      <c r="K7" s="17"/>
      <c r="L7" s="17"/>
    </row>
    <row r="8" spans="1:12" ht="33" customHeight="1">
      <c r="A8" s="2"/>
      <c r="B8" s="2" t="s">
        <v>30</v>
      </c>
      <c r="C8" s="2" t="s">
        <v>34</v>
      </c>
      <c r="D8" s="2" t="s">
        <v>53</v>
      </c>
      <c r="E8" s="2">
        <v>65</v>
      </c>
      <c r="F8" s="4">
        <v>1400000</v>
      </c>
      <c r="G8" s="2">
        <v>61</v>
      </c>
      <c r="H8" s="4">
        <f t="shared" si="0"/>
        <v>85400000</v>
      </c>
      <c r="I8" s="2"/>
      <c r="J8" s="17" t="s">
        <v>70</v>
      </c>
      <c r="K8" s="17"/>
      <c r="L8" s="17"/>
    </row>
    <row r="9" spans="1:12" ht="33" customHeight="1">
      <c r="A9" s="2"/>
      <c r="B9" s="2" t="s">
        <v>33</v>
      </c>
      <c r="C9" s="2" t="s">
        <v>34</v>
      </c>
      <c r="D9" s="2" t="s">
        <v>60</v>
      </c>
      <c r="E9" s="2">
        <v>65</v>
      </c>
      <c r="F9" s="4">
        <v>980000</v>
      </c>
      <c r="G9" s="2">
        <v>63</v>
      </c>
      <c r="H9" s="4">
        <f t="shared" si="0"/>
        <v>61740000</v>
      </c>
      <c r="I9" s="2"/>
      <c r="J9" s="17" t="s">
        <v>71</v>
      </c>
      <c r="K9" s="17"/>
      <c r="L9" s="17"/>
    </row>
    <row r="10" spans="1:12" ht="33" customHeight="1">
      <c r="A10" s="2"/>
      <c r="B10" s="2" t="s">
        <v>43</v>
      </c>
      <c r="C10" s="2" t="s">
        <v>34</v>
      </c>
      <c r="D10" s="2" t="s">
        <v>49</v>
      </c>
      <c r="E10" s="2">
        <v>55</v>
      </c>
      <c r="F10" s="4">
        <v>1540000</v>
      </c>
      <c r="G10" s="2">
        <v>42</v>
      </c>
      <c r="H10" s="4">
        <f t="shared" si="0"/>
        <v>64680000</v>
      </c>
      <c r="I10" s="2"/>
      <c r="J10" s="17" t="s">
        <v>72</v>
      </c>
      <c r="K10" s="17"/>
      <c r="L10" s="17"/>
    </row>
    <row r="11" spans="1:12" ht="33" customHeight="1">
      <c r="A11" s="2"/>
      <c r="B11" s="2" t="s">
        <v>30</v>
      </c>
      <c r="C11" s="2" t="s">
        <v>34</v>
      </c>
      <c r="D11" s="2" t="s">
        <v>62</v>
      </c>
      <c r="E11" s="2">
        <v>85</v>
      </c>
      <c r="F11" s="4">
        <v>1600000</v>
      </c>
      <c r="G11" s="2">
        <v>85</v>
      </c>
      <c r="H11" s="4">
        <f t="shared" si="0"/>
        <v>136000000</v>
      </c>
      <c r="I11" s="2"/>
      <c r="J11" s="17" t="s">
        <v>73</v>
      </c>
      <c r="K11" s="17"/>
      <c r="L11" s="17"/>
    </row>
    <row r="12" spans="1:12" ht="33" customHeight="1">
      <c r="A12" s="2"/>
      <c r="B12" s="2" t="s">
        <v>33</v>
      </c>
      <c r="C12" s="2" t="s">
        <v>34</v>
      </c>
      <c r="D12" s="2" t="s">
        <v>58</v>
      </c>
      <c r="E12" s="2">
        <v>99</v>
      </c>
      <c r="F12" s="4">
        <v>1000000</v>
      </c>
      <c r="G12" s="2">
        <v>75</v>
      </c>
      <c r="H12" s="4">
        <f t="shared" si="0"/>
        <v>75000000</v>
      </c>
      <c r="I12" s="2"/>
      <c r="J12" s="17" t="s">
        <v>74</v>
      </c>
      <c r="K12" s="17"/>
      <c r="L12" s="17"/>
    </row>
    <row r="13" spans="1:12" ht="33" customHeight="1">
      <c r="A13" s="2"/>
      <c r="B13" s="2" t="s">
        <v>43</v>
      </c>
      <c r="C13" s="2" t="s">
        <v>34</v>
      </c>
      <c r="D13" s="2" t="s">
        <v>45</v>
      </c>
      <c r="E13" s="2">
        <v>95</v>
      </c>
      <c r="F13" s="4">
        <v>1200000</v>
      </c>
      <c r="G13" s="2">
        <v>50</v>
      </c>
      <c r="H13" s="4">
        <f t="shared" si="0"/>
        <v>60000000</v>
      </c>
      <c r="I13" s="2"/>
      <c r="J13" s="17" t="s">
        <v>75</v>
      </c>
      <c r="K13" s="17"/>
      <c r="L13" s="17"/>
    </row>
    <row r="14" spans="1:12" ht="27" customHeight="1">
      <c r="A14" s="2"/>
      <c r="B14" s="2" t="s">
        <v>30</v>
      </c>
      <c r="C14" s="2" t="s">
        <v>34</v>
      </c>
      <c r="D14" s="2" t="s">
        <v>59</v>
      </c>
      <c r="E14" s="2">
        <v>10</v>
      </c>
      <c r="F14" s="4">
        <v>1740000</v>
      </c>
      <c r="G14" s="2">
        <v>10</v>
      </c>
      <c r="H14" s="4">
        <f t="shared" si="0"/>
        <v>17400000</v>
      </c>
      <c r="I14" s="2"/>
      <c r="J14" s="2"/>
      <c r="K14" s="2"/>
      <c r="L14" s="2"/>
    </row>
    <row r="15" spans="1:12" ht="27" customHeight="1">
      <c r="A15" s="2"/>
      <c r="B15" s="2" t="s">
        <v>33</v>
      </c>
      <c r="C15" s="2" t="s">
        <v>34</v>
      </c>
      <c r="D15" s="2" t="s">
        <v>35</v>
      </c>
      <c r="E15" s="2">
        <v>65</v>
      </c>
      <c r="F15" s="4">
        <v>1200000</v>
      </c>
      <c r="G15" s="2">
        <v>56</v>
      </c>
      <c r="H15" s="4">
        <f t="shared" si="0"/>
        <v>67200000</v>
      </c>
      <c r="I15" s="2"/>
      <c r="J15" s="2"/>
      <c r="K15" s="2"/>
      <c r="L15" s="2"/>
    </row>
    <row r="16" spans="1:12" ht="27" customHeight="1">
      <c r="A16" s="2"/>
      <c r="B16" s="2" t="s">
        <v>30</v>
      </c>
      <c r="C16" s="2" t="s">
        <v>34</v>
      </c>
      <c r="D16" s="2" t="s">
        <v>51</v>
      </c>
      <c r="E16" s="2">
        <v>95</v>
      </c>
      <c r="F16" s="4">
        <v>1370000</v>
      </c>
      <c r="G16" s="2">
        <v>46</v>
      </c>
      <c r="H16" s="4">
        <f t="shared" si="0"/>
        <v>63020000</v>
      </c>
      <c r="I16" s="2"/>
      <c r="J16" s="17" t="s">
        <v>61</v>
      </c>
      <c r="K16" s="17"/>
      <c r="L16" s="17"/>
    </row>
    <row r="17" spans="1:12" ht="27" customHeight="1">
      <c r="A17" s="2"/>
      <c r="B17" s="2" t="s">
        <v>33</v>
      </c>
      <c r="C17" s="2" t="s">
        <v>34</v>
      </c>
      <c r="D17" s="2" t="s">
        <v>38</v>
      </c>
      <c r="E17" s="2">
        <v>78</v>
      </c>
      <c r="F17" s="4">
        <v>890000</v>
      </c>
      <c r="G17" s="2">
        <v>54</v>
      </c>
      <c r="H17" s="4">
        <f t="shared" si="0"/>
        <v>48060000</v>
      </c>
      <c r="I17" s="2"/>
      <c r="J17" s="17"/>
      <c r="K17" s="17"/>
      <c r="L17" s="17"/>
    </row>
    <row r="18" spans="1:12" ht="27" customHeight="1">
      <c r="A18" s="2"/>
      <c r="B18" s="2" t="s">
        <v>30</v>
      </c>
      <c r="C18" s="2" t="s">
        <v>34</v>
      </c>
      <c r="D18" s="2" t="s">
        <v>41</v>
      </c>
      <c r="E18" s="2">
        <v>75</v>
      </c>
      <c r="F18" s="4">
        <v>1500000</v>
      </c>
      <c r="G18" s="2">
        <v>73</v>
      </c>
      <c r="H18" s="4">
        <f t="shared" si="0"/>
        <v>109500000</v>
      </c>
      <c r="I18" s="2"/>
      <c r="J18" s="17"/>
      <c r="K18" s="17"/>
      <c r="L18" s="17"/>
    </row>
    <row r="19" spans="1:12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7" customHeight="1">
      <c r="A21" s="2"/>
      <c r="B21" s="7" t="s">
        <v>82</v>
      </c>
      <c r="C21" s="7" t="s">
        <v>22</v>
      </c>
      <c r="D21" s="5"/>
      <c r="E21" s="5"/>
      <c r="F21" s="5"/>
      <c r="G21" s="2"/>
      <c r="H21" s="2"/>
      <c r="I21" s="2"/>
      <c r="J21" s="2"/>
      <c r="K21" s="2"/>
      <c r="L21" s="2"/>
    </row>
    <row r="22" spans="1:12" ht="27" customHeight="1">
      <c r="A22" s="2"/>
      <c r="B22" s="7" t="s">
        <v>27</v>
      </c>
      <c r="C22" s="5" t="s">
        <v>43</v>
      </c>
      <c r="D22" s="5" t="s">
        <v>30</v>
      </c>
      <c r="E22" s="5" t="s">
        <v>33</v>
      </c>
      <c r="F22" s="5" t="s">
        <v>77</v>
      </c>
      <c r="G22" s="2"/>
      <c r="H22" s="2"/>
      <c r="I22" s="2"/>
      <c r="J22" s="2"/>
      <c r="K22" s="2"/>
      <c r="L22" s="2"/>
    </row>
    <row r="23" spans="1:12" ht="27" customHeight="1">
      <c r="A23" s="2"/>
      <c r="B23" s="5" t="s">
        <v>83</v>
      </c>
      <c r="C23" s="11"/>
      <c r="D23" s="11">
        <v>10</v>
      </c>
      <c r="E23" s="11">
        <v>15</v>
      </c>
      <c r="F23" s="11">
        <v>15</v>
      </c>
      <c r="G23" s="2"/>
      <c r="H23" s="2"/>
      <c r="I23" s="2"/>
      <c r="J23" s="2"/>
      <c r="K23" s="2"/>
      <c r="L23" s="2"/>
    </row>
    <row r="24" spans="1:12" ht="27" customHeight="1">
      <c r="A24" s="2"/>
      <c r="B24" s="5" t="s">
        <v>84</v>
      </c>
      <c r="C24" s="11">
        <v>75</v>
      </c>
      <c r="D24" s="11">
        <v>95</v>
      </c>
      <c r="E24" s="11"/>
      <c r="F24" s="11">
        <v>95</v>
      </c>
      <c r="G24" s="2"/>
      <c r="H24" s="2"/>
      <c r="I24" s="2"/>
      <c r="J24" s="2"/>
      <c r="K24" s="2"/>
      <c r="L24" s="2"/>
    </row>
    <row r="25" spans="1:12" ht="27" customHeight="1">
      <c r="A25" s="2"/>
      <c r="B25" s="5" t="s">
        <v>85</v>
      </c>
      <c r="C25" s="11">
        <v>95</v>
      </c>
      <c r="D25" s="11">
        <v>75</v>
      </c>
      <c r="E25" s="11">
        <v>78</v>
      </c>
      <c r="F25" s="11">
        <v>95</v>
      </c>
      <c r="G25" s="2"/>
      <c r="H25" s="2"/>
      <c r="I25" s="2"/>
      <c r="J25" s="2"/>
      <c r="K25" s="2"/>
      <c r="L25" s="2"/>
    </row>
    <row r="26" spans="1:12" ht="27" customHeight="1">
      <c r="A26" s="2"/>
      <c r="B26" s="5" t="s">
        <v>86</v>
      </c>
      <c r="C26" s="11"/>
      <c r="D26" s="11">
        <v>85</v>
      </c>
      <c r="E26" s="11">
        <v>99</v>
      </c>
      <c r="F26" s="11">
        <v>99</v>
      </c>
      <c r="G26" s="2"/>
      <c r="H26" s="2"/>
      <c r="I26" s="2"/>
      <c r="J26" s="2"/>
      <c r="K26" s="2"/>
      <c r="L26" s="2"/>
    </row>
    <row r="27" spans="1:12" ht="27" customHeight="1">
      <c r="A27" s="2"/>
      <c r="B27" s="5" t="s">
        <v>77</v>
      </c>
      <c r="C27" s="11">
        <v>95</v>
      </c>
      <c r="D27" s="11">
        <v>95</v>
      </c>
      <c r="E27" s="11">
        <v>99</v>
      </c>
      <c r="F27" s="11">
        <v>99</v>
      </c>
      <c r="G27" s="2"/>
      <c r="H27" s="2"/>
      <c r="I27" s="2"/>
      <c r="J27" s="2"/>
      <c r="K27" s="2"/>
      <c r="L27" s="2"/>
    </row>
    <row r="28" spans="1:12" ht="27" customHeight="1">
      <c r="A28" s="2"/>
      <c r="B28" s="5"/>
      <c r="C28" s="5"/>
      <c r="D28" s="5"/>
      <c r="E28" s="5"/>
      <c r="F28" s="5"/>
      <c r="G28" s="2"/>
      <c r="H28" s="2"/>
      <c r="I28" s="2"/>
      <c r="J28" s="2"/>
      <c r="K28" s="2"/>
      <c r="L28" s="2"/>
    </row>
    <row r="29" spans="1:12" ht="27" customHeight="1">
      <c r="A29" s="2"/>
      <c r="B29" s="5"/>
      <c r="C29" s="5"/>
      <c r="D29" s="5"/>
      <c r="E29" s="5"/>
      <c r="F29" s="5"/>
      <c r="G29" s="2"/>
      <c r="H29" s="2"/>
      <c r="I29" s="2"/>
      <c r="J29" s="2"/>
      <c r="K29" s="2"/>
      <c r="L29" s="2"/>
    </row>
    <row r="30" spans="1:12" ht="27" customHeight="1">
      <c r="A30" s="2"/>
      <c r="B30" s="5"/>
      <c r="C30" s="5"/>
      <c r="D30" s="5"/>
      <c r="E30" s="5"/>
      <c r="F30" s="5"/>
      <c r="G30" s="2"/>
      <c r="H30" s="2"/>
      <c r="I30" s="2"/>
      <c r="J30" s="2"/>
      <c r="K30" s="2"/>
      <c r="L30" s="2"/>
    </row>
    <row r="31" spans="1:12" ht="27" customHeight="1">
      <c r="A31" s="2"/>
      <c r="B31" s="5"/>
      <c r="C31" s="5"/>
      <c r="D31" s="5"/>
      <c r="E31" s="5"/>
      <c r="F31" s="5"/>
      <c r="G31" s="2"/>
      <c r="H31" s="2"/>
      <c r="I31" s="2"/>
      <c r="J31" s="2"/>
      <c r="K31" s="2"/>
      <c r="L31" s="2"/>
    </row>
    <row r="32" spans="1:12" ht="27" customHeight="1">
      <c r="A32" s="2"/>
      <c r="B32" s="5"/>
      <c r="C32" s="5"/>
      <c r="D32" s="5"/>
      <c r="E32" s="5"/>
      <c r="F32" s="5"/>
      <c r="G32" s="2"/>
      <c r="H32" s="2"/>
      <c r="I32" s="2"/>
      <c r="J32" s="2"/>
      <c r="K32" s="2"/>
      <c r="L32" s="2"/>
    </row>
    <row r="33" spans="1:12" ht="27" customHeight="1">
      <c r="A33" s="2"/>
      <c r="B33" s="5"/>
      <c r="C33" s="5"/>
      <c r="D33" s="5"/>
      <c r="E33" s="5"/>
      <c r="F33" s="5"/>
      <c r="G33" s="2"/>
      <c r="H33" s="2"/>
      <c r="I33" s="2"/>
      <c r="J33" s="2"/>
      <c r="K33" s="2"/>
      <c r="L33" s="2"/>
    </row>
    <row r="34" spans="1:12" ht="27" customHeight="1">
      <c r="A34" s="2"/>
      <c r="B34" s="5"/>
      <c r="C34" s="5"/>
      <c r="D34" s="5"/>
      <c r="E34" s="5"/>
      <c r="F34" s="5"/>
      <c r="G34" s="2"/>
      <c r="H34" s="2"/>
      <c r="I34" s="2"/>
      <c r="J34" s="2"/>
      <c r="K34" s="2"/>
      <c r="L34" s="2"/>
    </row>
    <row r="35" spans="1:12" ht="27" customHeight="1">
      <c r="A35" s="2"/>
      <c r="B35" s="5"/>
      <c r="C35" s="5"/>
      <c r="D35" s="5"/>
      <c r="E35" s="5"/>
      <c r="F35" s="5"/>
      <c r="G35" s="2"/>
      <c r="H35" s="2"/>
      <c r="I35" s="2"/>
      <c r="J35" s="2"/>
      <c r="K35" s="2"/>
      <c r="L35" s="2"/>
    </row>
    <row r="36" spans="1:12" ht="27" customHeight="1">
      <c r="A36" s="2"/>
      <c r="B36" s="5"/>
      <c r="C36" s="5"/>
      <c r="D36" s="5"/>
      <c r="E36" s="5"/>
      <c r="F36" s="5"/>
      <c r="G36" s="2"/>
      <c r="H36" s="2"/>
      <c r="I36" s="2"/>
      <c r="J36" s="2"/>
      <c r="K36" s="2"/>
      <c r="L36" s="2"/>
    </row>
    <row r="37" spans="1:12" ht="27" customHeight="1">
      <c r="A37" s="2"/>
      <c r="B37" s="5"/>
      <c r="C37" s="5"/>
      <c r="D37" s="5"/>
      <c r="E37" s="5"/>
      <c r="F37" s="5"/>
      <c r="G37" s="2"/>
      <c r="H37" s="2"/>
      <c r="I37" s="2"/>
      <c r="J37" s="2"/>
      <c r="K37" s="2"/>
      <c r="L37" s="2"/>
    </row>
    <row r="38" spans="1:12" ht="27" customHeight="1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</row>
    <row r="39" spans="1:12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12">
    <mergeCell ref="J13:L13"/>
    <mergeCell ref="J16:L18"/>
    <mergeCell ref="J8:L8"/>
    <mergeCell ref="J9:L9"/>
    <mergeCell ref="J10:L10"/>
    <mergeCell ref="J11:L11"/>
    <mergeCell ref="J12:L12"/>
    <mergeCell ref="B1:H1"/>
    <mergeCell ref="J3:L3"/>
    <mergeCell ref="J5:L5"/>
    <mergeCell ref="J6:L6"/>
    <mergeCell ref="J7:L7"/>
  </mergeCells>
  <phoneticPr fontId="5" type="noConversion"/>
  <pageMargins left="0.7" right="0.7" top="0.75" bottom="0.75" header="0.3" footer="0.3"/>
  <pageSetup paperSize="9" scale="6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사용안내</vt:lpstr>
      <vt:lpstr>피벗1_실습</vt:lpstr>
      <vt:lpstr>★서울자료</vt:lpstr>
      <vt:lpstr>피벗1_정답</vt:lpstr>
      <vt:lpstr>피벗2_실습</vt:lpstr>
      <vt:lpstr>피벗2_정답</vt:lpstr>
      <vt:lpstr>피벗1_정답!Print_Area</vt:lpstr>
      <vt:lpstr>피벗2_정답!Print_Area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2026-10-07T03:02:41Z</dcterms:modified>
</cp:coreProperties>
</file>