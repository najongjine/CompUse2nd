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8D6F1F65-1A6A-4CDD-98D5-5E2659A9C5D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사용안내" sheetId="1" r:id="rId1"/>
    <sheet name="부분합_실습" sheetId="2" r:id="rId2"/>
    <sheet name="부분합_정답" sheetId="3" r:id="rId3"/>
    <sheet name="정렬_실습" sheetId="4" r:id="rId4"/>
    <sheet name="정렬_정답" sheetId="5" r:id="rId5"/>
  </sheets>
  <definedNames>
    <definedName name="_xlnm.Print_Area" localSheetId="1">부분합_실습!$B$1:$G$18</definedName>
    <definedName name="_xlnm.Print_Area" localSheetId="2">부분합_정답!$B$1:$G$26</definedName>
    <definedName name="_xlnm.Print_Area" localSheetId="0">사용안내!$A$1:$D$24</definedName>
    <definedName name="_xlnm.Print_Area" localSheetId="3">정렬_실습!$B$1:$H$18</definedName>
    <definedName name="_xlnm.Print_Area" localSheetId="4">정렬_정답!$B$1:$H$18</definedName>
    <definedName name="_xlnm.Print_Titles" localSheetId="1">부분합_실습!$1:$3</definedName>
    <definedName name="_xlnm.Print_Titles" localSheetId="2">부분합_정답!$1:$3</definedName>
    <definedName name="_xlnm.Print_Titles" localSheetId="0">사용안내!$1:$3</definedName>
    <definedName name="_xlnm.Print_Titles" localSheetId="3">정렬_실습!$1:$3</definedName>
    <definedName name="_xlnm.Print_Titles" localSheetId="4">정렬_정답!$1:$3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 l="1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22" i="3"/>
  <c r="G21" i="3"/>
  <c r="G20" i="3"/>
  <c r="G17" i="3"/>
  <c r="G16" i="3"/>
  <c r="G15" i="3"/>
  <c r="G14" i="3"/>
  <c r="G13" i="3"/>
  <c r="G12" i="3"/>
  <c r="G9" i="3"/>
  <c r="G8" i="3"/>
  <c r="G7" i="3"/>
  <c r="G6" i="3"/>
  <c r="G5" i="3"/>
  <c r="G4" i="3"/>
  <c r="E23" i="3"/>
  <c r="E18" i="3"/>
  <c r="E10" i="3"/>
  <c r="F24" i="3"/>
  <c r="F19" i="3"/>
  <c r="F11" i="3"/>
  <c r="H12" i="5"/>
  <c r="H8" i="5"/>
  <c r="H15" i="5"/>
  <c r="H7" i="5"/>
  <c r="H13" i="5"/>
  <c r="H16" i="5"/>
  <c r="H5" i="5"/>
  <c r="H10" i="5"/>
  <c r="H18" i="5"/>
  <c r="H6" i="5"/>
  <c r="H14" i="5"/>
  <c r="H9" i="5"/>
  <c r="H17" i="5"/>
  <c r="H4" i="5"/>
  <c r="H11" i="5"/>
  <c r="E25" i="3" l="1"/>
  <c r="F26" i="3"/>
</calcChain>
</file>

<file path=xl/sharedStrings.xml><?xml version="1.0" encoding="utf-8"?>
<sst xmlns="http://schemas.openxmlformats.org/spreadsheetml/2006/main" count="248" uniqueCount="78">
  <si>
    <t>022 023 정렬과 부분합 사용 안내</t>
  </si>
  <si>
    <t>먼저 실습 시트를 복사한 뒤 교재를 보면서 메뉴를 따라 하세요.</t>
  </si>
  <si>
    <t>부분합_실습: B3:G18에서 제품명 내림차순 → 판매수량 평균 → 판매단가 합계.</t>
  </si>
  <si>
    <t>부분합_정답: Excel의 실제 부분합과 윤곽 버튼이 적용되어 있습니다.</t>
  </si>
  <si>
    <t>정렬_실습: B3:H18에서 지역 사용자 지정 순서와 입고량 내림차순을 적용하세요.</t>
  </si>
  <si>
    <t>정렬_정답: 지역과 입고량의 두 가지 기준으로 정렬된 결과입니다.</t>
  </si>
  <si>
    <t>정렬 메뉴: 데이터 → 정렬 및 필터 → 정렬. 머리글 있음 체크.</t>
  </si>
  <si>
    <t>부분합 메뉴: 데이터 → 개요 → 부분합. 두 번째 설정은 새로운 값으로 대치 해제.</t>
  </si>
  <si>
    <t>사용자 지정 목록: 데이터 → 정렬 → 지역 순서 → 사용자 지정 목록 → 새 목록.</t>
  </si>
  <si>
    <t>지역 목록은 서울, 부산, 인천, 광주, 대구, 강원을 한 줄에 하나씩 입력합니다.</t>
  </si>
  <si>
    <t>판매단가 합계는 문제의 요구입니다. 매출액 합계와 다른 값입니다.</t>
  </si>
  <si>
    <t>원본을 다시 불러오려면 아직 손대지 않은 실습 시트의 복사본을 사용하세요.</t>
  </si>
  <si>
    <t>부분합 제거: 표 안 클릭 → 데이터 → 개요 → 부분합 → 모두 제거.</t>
  </si>
  <si>
    <t>셀 값을 고치면 매출액과 기존 부분합은 다시 계산됩니다.</t>
  </si>
  <si>
    <t>행 추가나 제품명 변경 시에는 부분합 제거 → 다시 정렬 → 부분합을 다시 적용합니다.</t>
  </si>
  <si>
    <t>정렬은 자료를 수정해도 자동으로 다시 실행되지 않습니다. 같은 조건으로 다시 정렬하세요.</t>
  </si>
  <si>
    <t>사진에서 이름을 판독해 옮겼습니다. 계산은 숫자와 제품명 및 지역을 사용합니다.</t>
  </si>
  <si>
    <t>추가 문제 1  제품명별 판매수량 합계를 구하세요. 에어컨 359 / 공기청정기 404 / LED-TV 137.</t>
  </si>
  <si>
    <t>추가 문제 2  같은 지역 안에서 입고량을 오름차순으로 바꾸세요. 서울 33, 45, 65, 65.</t>
  </si>
  <si>
    <t>출처: 촬영 노트 022페이지 부분합 문제와 결과, 023페이지 사용자 지정 정렬 문제와 결과.</t>
  </si>
  <si>
    <t>12월 제품 판매현황</t>
  </si>
  <si>
    <t>제품명</t>
  </si>
  <si>
    <t>담당자</t>
  </si>
  <si>
    <t>입고량</t>
  </si>
  <si>
    <t>판매단가</t>
  </si>
  <si>
    <t>판매수량</t>
  </si>
  <si>
    <t>매출액</t>
  </si>
  <si>
    <t>문제 1 제품명별 부분합</t>
  </si>
  <si>
    <t>공기청정기</t>
  </si>
  <si>
    <t>신수미</t>
  </si>
  <si>
    <t>에어컨</t>
  </si>
  <si>
    <t>이승민</t>
  </si>
  <si>
    <t>제품명 기준으로 내림차순 정렬</t>
  </si>
  <si>
    <t>LED-TV</t>
  </si>
  <si>
    <t>김시은</t>
  </si>
  <si>
    <t>판매수량 평균을 먼저 계산</t>
  </si>
  <si>
    <t>조강철</t>
  </si>
  <si>
    <t>판매단가 합계를 두 번째로 추가</t>
  </si>
  <si>
    <t>이민호</t>
  </si>
  <si>
    <t>두 번째는 새로운 값으로 대치 해제</t>
  </si>
  <si>
    <t>한수영</t>
  </si>
  <si>
    <t>데이터 아래에 요약 표시 체크</t>
  </si>
  <si>
    <t>허영미</t>
  </si>
  <si>
    <t>평균 전체 결과 60 / 단가 합계 20,450,000</t>
  </si>
  <si>
    <t>한우영</t>
  </si>
  <si>
    <t>송영미</t>
  </si>
  <si>
    <t>김정일</t>
  </si>
  <si>
    <t>자료: 촬영 노트 022~023페이지</t>
  </si>
  <si>
    <t>고우리</t>
  </si>
  <si>
    <t>실습 시작 자료는 정렬 전 순서로 배치</t>
  </si>
  <si>
    <t>황고우</t>
  </si>
  <si>
    <t>이재필</t>
  </si>
  <si>
    <t>실습을 다시 하려면 실습 시트 탭을 우클릭 → 이동/복사 → 복사본 만들기.</t>
  </si>
  <si>
    <t>홍민영</t>
  </si>
  <si>
    <t>남지우</t>
  </si>
  <si>
    <t>1월 제품 판매현황</t>
  </si>
  <si>
    <t>지역</t>
  </si>
  <si>
    <t>문제 2 사용자 지정 정렬</t>
  </si>
  <si>
    <t>인천</t>
  </si>
  <si>
    <t>서울</t>
  </si>
  <si>
    <t>1차 지역 사용자 지정 목록</t>
  </si>
  <si>
    <t>강원</t>
  </si>
  <si>
    <t>서울 부산 인천 광주 대구 강원</t>
  </si>
  <si>
    <t>부산</t>
  </si>
  <si>
    <t>2차 입고량 내림차순</t>
  </si>
  <si>
    <t>광주</t>
  </si>
  <si>
    <t>머리글 포함 B3:H18 전체 정렬</t>
  </si>
  <si>
    <t>같은 지역 안에서 입고량 큰 값부터</t>
  </si>
  <si>
    <t>서울 65, 65, 45, 33 순서</t>
  </si>
  <si>
    <t>대구</t>
  </si>
  <si>
    <t>에어컨 평균</t>
  </si>
  <si>
    <t>공기청정기 평균</t>
  </si>
  <si>
    <t>LED-TV 평균</t>
  </si>
  <si>
    <t>전체 평균</t>
  </si>
  <si>
    <t>에어컨 요약</t>
  </si>
  <si>
    <t>공기청정기 요약</t>
  </si>
  <si>
    <t>LED-TV 요약</t>
  </si>
  <si>
    <t>총합계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</si>
</sst>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7">
    <font>
      <sz val="11"/>
      <name val="Carlito"/>
    </font>
    <font>
      <sz val="11"/>
      <name val="맑은 고딕"/>
      <family val="3"/>
      <charset val="129"/>
    </font>
    <font>
      <sz val="16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name val="Carlito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2EDF7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1" fillId="0" borderId="0" xfId="1" applyFont="1"/>
    <xf numFmtId="0" fontId="1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1" xfId="1" applyFont="1" applyFill="1" applyBorder="1" applyAlignment="1">
      <alignment horizontal="center" vertical="center"/>
    </xf>
    <xf numFmtId="3" fontId="1" fillId="0" borderId="1" xfId="1" applyNumberFormat="1" applyFont="1" applyBorder="1" applyAlignment="1">
      <alignment vertical="center"/>
    </xf>
    <xf numFmtId="0" fontId="1" fillId="0" borderId="0" xfId="1" applyFont="1" applyAlignment="1">
      <alignment wrapText="1"/>
    </xf>
    <xf numFmtId="1" fontId="1" fillId="0" borderId="1" xfId="1" applyNumberFormat="1" applyFont="1" applyBorder="1" applyAlignment="1">
      <alignment vertical="center"/>
    </xf>
    <xf numFmtId="0" fontId="4" fillId="3" borderId="1" xfId="1" applyFont="1" applyFill="1" applyBorder="1" applyAlignment="1">
      <alignment vertical="center"/>
    </xf>
    <xf numFmtId="3" fontId="4" fillId="3" borderId="1" xfId="1" applyNumberFormat="1" applyFont="1" applyFill="1" applyBorder="1" applyAlignment="1">
      <alignment vertical="center"/>
    </xf>
    <xf numFmtId="1" fontId="4" fillId="3" borderId="1" xfId="1" applyNumberFormat="1" applyFont="1" applyFill="1" applyBorder="1" applyAlignment="1">
      <alignment vertical="center"/>
    </xf>
    <xf numFmtId="176" fontId="4" fillId="3" borderId="1" xfId="1" applyNumberFormat="1" applyFont="1" applyFill="1" applyBorder="1" applyAlignment="1">
      <alignment vertical="center"/>
    </xf>
    <xf numFmtId="0" fontId="4" fillId="3" borderId="0" xfId="1" applyFont="1" applyFill="1" applyAlignment="1">
      <alignment vertical="center"/>
    </xf>
    <xf numFmtId="3" fontId="4" fillId="3" borderId="0" xfId="1" applyNumberFormat="1" applyFont="1" applyFill="1" applyAlignment="1">
      <alignment vertical="center"/>
    </xf>
    <xf numFmtId="1" fontId="4" fillId="3" borderId="0" xfId="1" applyNumberFormat="1" applyFont="1" applyFill="1" applyAlignment="1">
      <alignment vertical="center"/>
    </xf>
    <xf numFmtId="176" fontId="4" fillId="3" borderId="0" xfId="1" applyNumberFormat="1" applyFont="1" applyFill="1" applyAlignment="1">
      <alignment vertical="center"/>
    </xf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0" fontId="2" fillId="0" borderId="0" xfId="1" applyFont="1" applyAlignment="1">
      <alignment vertical="center"/>
    </xf>
    <xf numFmtId="0" fontId="1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0" xfId="1" applyFont="1" applyAlignment="1">
      <alignment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7"/>
  <sheetViews>
    <sheetView showGridLines="0" tabSelected="1" zoomScale="90" zoomScaleNormal="90" workbookViewId="0">
      <selection sqref="A1:D1"/>
    </sheetView>
  </sheetViews>
  <sheetFormatPr defaultRowHeight="14.25"/>
  <cols>
    <col min="1" max="1" width="25" customWidth="1"/>
    <col min="2" max="4" width="32" customWidth="1"/>
  </cols>
  <sheetData>
    <row r="1" spans="1:4" ht="33.950000000000003" customHeight="1">
      <c r="A1" s="16" t="s">
        <v>0</v>
      </c>
      <c r="B1" s="17"/>
      <c r="C1" s="17"/>
      <c r="D1" s="17"/>
    </row>
    <row r="2" spans="1:4" ht="33.950000000000003" customHeight="1">
      <c r="A2" s="1"/>
      <c r="B2" s="1"/>
      <c r="C2" s="1"/>
      <c r="D2" s="1"/>
    </row>
    <row r="3" spans="1:4" ht="42" customHeight="1">
      <c r="A3" s="18" t="s">
        <v>1</v>
      </c>
      <c r="B3" s="18"/>
      <c r="C3" s="18"/>
      <c r="D3" s="18"/>
    </row>
    <row r="4" spans="1:4" ht="42" customHeight="1">
      <c r="A4" s="18" t="s">
        <v>2</v>
      </c>
      <c r="B4" s="18"/>
      <c r="C4" s="18"/>
      <c r="D4" s="18"/>
    </row>
    <row r="5" spans="1:4" ht="42" customHeight="1">
      <c r="A5" s="18" t="s">
        <v>3</v>
      </c>
      <c r="B5" s="18"/>
      <c r="C5" s="18"/>
      <c r="D5" s="18"/>
    </row>
    <row r="6" spans="1:4" ht="42" customHeight="1">
      <c r="A6" s="18" t="s">
        <v>4</v>
      </c>
      <c r="B6" s="18"/>
      <c r="C6" s="18"/>
      <c r="D6" s="18"/>
    </row>
    <row r="7" spans="1:4" ht="42" customHeight="1">
      <c r="A7" s="18" t="s">
        <v>5</v>
      </c>
      <c r="B7" s="18"/>
      <c r="C7" s="18"/>
      <c r="D7" s="18"/>
    </row>
    <row r="8" spans="1:4" ht="42" customHeight="1">
      <c r="A8" s="18" t="s">
        <v>6</v>
      </c>
      <c r="B8" s="18"/>
      <c r="C8" s="18"/>
      <c r="D8" s="18"/>
    </row>
    <row r="9" spans="1:4" ht="42" customHeight="1">
      <c r="A9" s="18" t="s">
        <v>7</v>
      </c>
      <c r="B9" s="18"/>
      <c r="C9" s="18"/>
      <c r="D9" s="18"/>
    </row>
    <row r="10" spans="1:4" ht="42" customHeight="1">
      <c r="A10" s="18" t="s">
        <v>8</v>
      </c>
      <c r="B10" s="18"/>
      <c r="C10" s="18"/>
      <c r="D10" s="18"/>
    </row>
    <row r="11" spans="1:4" ht="42" customHeight="1">
      <c r="A11" s="18" t="s">
        <v>9</v>
      </c>
      <c r="B11" s="18"/>
      <c r="C11" s="18"/>
      <c r="D11" s="18"/>
    </row>
    <row r="12" spans="1:4" ht="42" customHeight="1">
      <c r="A12" s="18" t="s">
        <v>10</v>
      </c>
      <c r="B12" s="18"/>
      <c r="C12" s="18"/>
      <c r="D12" s="18"/>
    </row>
    <row r="13" spans="1:4" ht="42" customHeight="1">
      <c r="A13" s="18" t="s">
        <v>11</v>
      </c>
      <c r="B13" s="18"/>
      <c r="C13" s="18"/>
      <c r="D13" s="18"/>
    </row>
    <row r="14" spans="1:4" ht="42" customHeight="1">
      <c r="A14" s="18" t="s">
        <v>12</v>
      </c>
      <c r="B14" s="18"/>
      <c r="C14" s="18"/>
      <c r="D14" s="18"/>
    </row>
    <row r="15" spans="1:4" ht="42" customHeight="1">
      <c r="A15" s="18" t="s">
        <v>13</v>
      </c>
      <c r="B15" s="18"/>
      <c r="C15" s="18"/>
      <c r="D15" s="18"/>
    </row>
    <row r="16" spans="1:4" ht="42" customHeight="1">
      <c r="A16" s="18" t="s">
        <v>14</v>
      </c>
      <c r="B16" s="18"/>
      <c r="C16" s="18"/>
      <c r="D16" s="18"/>
    </row>
    <row r="17" spans="1:4" ht="42" customHeight="1">
      <c r="A17" s="18" t="s">
        <v>15</v>
      </c>
      <c r="B17" s="18"/>
      <c r="C17" s="18"/>
      <c r="D17" s="18"/>
    </row>
    <row r="18" spans="1:4" ht="42" customHeight="1">
      <c r="A18" s="18" t="s">
        <v>16</v>
      </c>
      <c r="B18" s="18"/>
      <c r="C18" s="18"/>
      <c r="D18" s="18"/>
    </row>
    <row r="19" spans="1:4" ht="42" customHeight="1">
      <c r="A19" s="6"/>
      <c r="B19" s="6"/>
      <c r="C19" s="6"/>
      <c r="D19" s="6"/>
    </row>
    <row r="20" spans="1:4" ht="42" customHeight="1">
      <c r="A20" s="6"/>
      <c r="B20" s="6"/>
      <c r="C20" s="6"/>
      <c r="D20" s="6"/>
    </row>
    <row r="21" spans="1:4" ht="42" customHeight="1">
      <c r="A21" s="18" t="s">
        <v>17</v>
      </c>
      <c r="B21" s="18"/>
      <c r="C21" s="18"/>
      <c r="D21" s="18"/>
    </row>
    <row r="22" spans="1:4" ht="42" customHeight="1">
      <c r="A22" s="18" t="s">
        <v>18</v>
      </c>
      <c r="B22" s="18"/>
      <c r="C22" s="18"/>
      <c r="D22" s="18"/>
    </row>
    <row r="23" spans="1:4" ht="42" customHeight="1">
      <c r="A23" s="6"/>
      <c r="B23" s="6"/>
      <c r="C23" s="6"/>
      <c r="D23" s="6"/>
    </row>
    <row r="24" spans="1:4" ht="42" customHeight="1">
      <c r="A24" s="18" t="s">
        <v>19</v>
      </c>
      <c r="B24" s="18"/>
      <c r="C24" s="18"/>
      <c r="D24" s="18"/>
    </row>
    <row r="25" spans="1:4" ht="33.950000000000003" customHeight="1">
      <c r="A25" s="1"/>
      <c r="B25" s="1"/>
      <c r="C25" s="1"/>
      <c r="D25" s="1"/>
    </row>
    <row r="26" spans="1:4" ht="33.950000000000003" customHeight="1">
      <c r="A26" s="1"/>
      <c r="B26" s="1"/>
      <c r="C26" s="1"/>
      <c r="D26" s="1"/>
    </row>
    <row r="27" spans="1:4" ht="33.950000000000003" customHeight="1">
      <c r="A27" s="1"/>
      <c r="B27" s="1"/>
      <c r="C27" s="1"/>
      <c r="D27" s="1"/>
    </row>
  </sheetData>
  <mergeCells count="20">
    <mergeCell ref="A17:D17"/>
    <mergeCell ref="A18:D18"/>
    <mergeCell ref="A21:D21"/>
    <mergeCell ref="A22:D22"/>
    <mergeCell ref="A24:D24"/>
    <mergeCell ref="A12:D12"/>
    <mergeCell ref="A13:D13"/>
    <mergeCell ref="A14:D14"/>
    <mergeCell ref="A15:D15"/>
    <mergeCell ref="A16:D16"/>
    <mergeCell ref="A7:D7"/>
    <mergeCell ref="A8:D8"/>
    <mergeCell ref="A9:D9"/>
    <mergeCell ref="A10:D10"/>
    <mergeCell ref="A11:D11"/>
    <mergeCell ref="A1:D1"/>
    <mergeCell ref="A3:D3"/>
    <mergeCell ref="A4:D4"/>
    <mergeCell ref="A5:D5"/>
    <mergeCell ref="A6:D6"/>
  </mergeCells>
  <phoneticPr fontId="6" type="noConversion"/>
  <pageMargins left="0.7" right="0.7" top="0.75" bottom="0.75" header="0.3" footer="0.3"/>
  <pageSetup paperSize="9" scale="4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8AA28"/>
    <pageSetUpPr fitToPage="1"/>
  </sheetPr>
  <dimension ref="A1:K37"/>
  <sheetViews>
    <sheetView zoomScale="90" zoomScaleNormal="90" workbookViewId="0">
      <pane ySplit="3" topLeftCell="A4" activePane="bottomLeft" state="frozen"/>
      <selection pane="bottomLeft" activeCell="B4" sqref="B4"/>
    </sheetView>
  </sheetViews>
  <sheetFormatPr defaultRowHeight="14.25"/>
  <cols>
    <col min="1" max="1" width="3" customWidth="1"/>
    <col min="2" max="2" width="24" customWidth="1"/>
    <col min="3" max="4" width="16" customWidth="1"/>
    <col min="5" max="8" width="19" customWidth="1"/>
    <col min="9" max="9" width="3" customWidth="1"/>
    <col min="10" max="11" width="35" customWidth="1"/>
  </cols>
  <sheetData>
    <row r="1" spans="1:11" ht="26.1" customHeight="1">
      <c r="A1" s="2"/>
      <c r="B1" s="19" t="s">
        <v>20</v>
      </c>
      <c r="C1" s="20"/>
      <c r="D1" s="20"/>
      <c r="E1" s="20"/>
      <c r="F1" s="20"/>
      <c r="G1" s="20"/>
      <c r="H1" s="2"/>
      <c r="I1" s="2"/>
      <c r="J1" s="2"/>
      <c r="K1" s="2"/>
    </row>
    <row r="2" spans="1:11" ht="26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6.1" customHeight="1">
      <c r="A3" s="2"/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2"/>
      <c r="I3" s="2"/>
      <c r="J3" s="21" t="s">
        <v>27</v>
      </c>
      <c r="K3" s="20"/>
    </row>
    <row r="4" spans="1:11" ht="26.1" customHeight="1">
      <c r="A4" s="2"/>
      <c r="B4" s="3" t="s">
        <v>28</v>
      </c>
      <c r="C4" s="3" t="s">
        <v>29</v>
      </c>
      <c r="D4" s="3">
        <v>75</v>
      </c>
      <c r="E4" s="5">
        <v>1600000</v>
      </c>
      <c r="F4" s="3">
        <v>71</v>
      </c>
      <c r="G4" s="5">
        <f t="shared" ref="G4:G18" si="0">E4*F4</f>
        <v>113600000</v>
      </c>
      <c r="H4" s="2"/>
      <c r="I4" s="2"/>
      <c r="J4" s="2"/>
      <c r="K4" s="2"/>
    </row>
    <row r="5" spans="1:11" ht="26.1" customHeight="1">
      <c r="A5" s="2"/>
      <c r="B5" s="3" t="s">
        <v>30</v>
      </c>
      <c r="C5" s="3" t="s">
        <v>31</v>
      </c>
      <c r="D5" s="3">
        <v>83</v>
      </c>
      <c r="E5" s="5">
        <v>2450000</v>
      </c>
      <c r="F5" s="3">
        <v>76</v>
      </c>
      <c r="G5" s="5">
        <f t="shared" si="0"/>
        <v>186200000</v>
      </c>
      <c r="H5" s="2"/>
      <c r="I5" s="2"/>
      <c r="J5" s="20" t="s">
        <v>32</v>
      </c>
      <c r="K5" s="20"/>
    </row>
    <row r="6" spans="1:11" ht="26.1" customHeight="1">
      <c r="A6" s="2"/>
      <c r="B6" s="3" t="s">
        <v>33</v>
      </c>
      <c r="C6" s="3" t="s">
        <v>34</v>
      </c>
      <c r="D6" s="3">
        <v>75</v>
      </c>
      <c r="E6" s="5">
        <v>1200000</v>
      </c>
      <c r="F6" s="3">
        <v>45</v>
      </c>
      <c r="G6" s="5">
        <f t="shared" si="0"/>
        <v>54000000</v>
      </c>
      <c r="H6" s="2"/>
      <c r="I6" s="2"/>
      <c r="J6" s="20" t="s">
        <v>35</v>
      </c>
      <c r="K6" s="20"/>
    </row>
    <row r="7" spans="1:11" ht="26.1" customHeight="1">
      <c r="A7" s="2"/>
      <c r="B7" s="3" t="s">
        <v>30</v>
      </c>
      <c r="C7" s="3" t="s">
        <v>36</v>
      </c>
      <c r="D7" s="3">
        <v>45</v>
      </c>
      <c r="E7" s="5">
        <v>780000</v>
      </c>
      <c r="F7" s="3">
        <v>35</v>
      </c>
      <c r="G7" s="5">
        <f t="shared" si="0"/>
        <v>27300000</v>
      </c>
      <c r="H7" s="2"/>
      <c r="I7" s="2"/>
      <c r="J7" s="20" t="s">
        <v>37</v>
      </c>
      <c r="K7" s="20"/>
    </row>
    <row r="8" spans="1:11" ht="26.1" customHeight="1">
      <c r="A8" s="2"/>
      <c r="B8" s="3" t="s">
        <v>28</v>
      </c>
      <c r="C8" s="3" t="s">
        <v>38</v>
      </c>
      <c r="D8" s="3">
        <v>65</v>
      </c>
      <c r="E8" s="5">
        <v>1400000</v>
      </c>
      <c r="F8" s="3">
        <v>61</v>
      </c>
      <c r="G8" s="5">
        <f t="shared" si="0"/>
        <v>85400000</v>
      </c>
      <c r="H8" s="2"/>
      <c r="I8" s="2"/>
      <c r="J8" s="20" t="s">
        <v>39</v>
      </c>
      <c r="K8" s="20"/>
    </row>
    <row r="9" spans="1:11" ht="26.1" customHeight="1">
      <c r="A9" s="2"/>
      <c r="B9" s="3" t="s">
        <v>30</v>
      </c>
      <c r="C9" s="3" t="s">
        <v>40</v>
      </c>
      <c r="D9" s="3">
        <v>65</v>
      </c>
      <c r="E9" s="5">
        <v>980000</v>
      </c>
      <c r="F9" s="3">
        <v>63</v>
      </c>
      <c r="G9" s="5">
        <f t="shared" si="0"/>
        <v>61740000</v>
      </c>
      <c r="H9" s="2"/>
      <c r="I9" s="2"/>
      <c r="J9" s="20" t="s">
        <v>41</v>
      </c>
      <c r="K9" s="20"/>
    </row>
    <row r="10" spans="1:11" ht="26.1" customHeight="1">
      <c r="A10" s="2"/>
      <c r="B10" s="3" t="s">
        <v>33</v>
      </c>
      <c r="C10" s="3" t="s">
        <v>42</v>
      </c>
      <c r="D10" s="3">
        <v>55</v>
      </c>
      <c r="E10" s="5">
        <v>1540000</v>
      </c>
      <c r="F10" s="3">
        <v>42</v>
      </c>
      <c r="G10" s="5">
        <f t="shared" si="0"/>
        <v>64680000</v>
      </c>
      <c r="H10" s="2"/>
      <c r="I10" s="2"/>
      <c r="J10" s="20" t="s">
        <v>43</v>
      </c>
      <c r="K10" s="20"/>
    </row>
    <row r="11" spans="1:11" ht="26.1" customHeight="1">
      <c r="A11" s="2"/>
      <c r="B11" s="3" t="s">
        <v>28</v>
      </c>
      <c r="C11" s="3" t="s">
        <v>44</v>
      </c>
      <c r="D11" s="3">
        <v>85</v>
      </c>
      <c r="E11" s="5">
        <v>1600000</v>
      </c>
      <c r="F11" s="3">
        <v>85</v>
      </c>
      <c r="G11" s="5">
        <f t="shared" si="0"/>
        <v>136000000</v>
      </c>
      <c r="H11" s="2"/>
      <c r="I11" s="2"/>
      <c r="J11" s="2"/>
      <c r="K11" s="2"/>
    </row>
    <row r="12" spans="1:11" ht="26.1" customHeight="1">
      <c r="A12" s="2"/>
      <c r="B12" s="3" t="s">
        <v>30</v>
      </c>
      <c r="C12" s="3" t="s">
        <v>45</v>
      </c>
      <c r="D12" s="3">
        <v>99</v>
      </c>
      <c r="E12" s="5">
        <v>1000000</v>
      </c>
      <c r="F12" s="3">
        <v>75</v>
      </c>
      <c r="G12" s="5">
        <f t="shared" si="0"/>
        <v>75000000</v>
      </c>
      <c r="H12" s="2"/>
      <c r="I12" s="2"/>
      <c r="J12" s="2"/>
      <c r="K12" s="2"/>
    </row>
    <row r="13" spans="1:11" ht="26.1" customHeight="1">
      <c r="A13" s="2"/>
      <c r="B13" s="3" t="s">
        <v>33</v>
      </c>
      <c r="C13" s="3" t="s">
        <v>46</v>
      </c>
      <c r="D13" s="3">
        <v>95</v>
      </c>
      <c r="E13" s="5">
        <v>1200000</v>
      </c>
      <c r="F13" s="3">
        <v>50</v>
      </c>
      <c r="G13" s="5">
        <f t="shared" si="0"/>
        <v>60000000</v>
      </c>
      <c r="H13" s="2"/>
      <c r="I13" s="2"/>
      <c r="J13" s="20" t="s">
        <v>47</v>
      </c>
      <c r="K13" s="20"/>
    </row>
    <row r="14" spans="1:11" ht="26.1" customHeight="1">
      <c r="A14" s="2"/>
      <c r="B14" s="3" t="s">
        <v>28</v>
      </c>
      <c r="C14" s="3" t="s">
        <v>48</v>
      </c>
      <c r="D14" s="3">
        <v>33</v>
      </c>
      <c r="E14" s="5">
        <v>1740000</v>
      </c>
      <c r="F14" s="3">
        <v>68</v>
      </c>
      <c r="G14" s="5">
        <f t="shared" si="0"/>
        <v>118320000</v>
      </c>
      <c r="H14" s="2"/>
      <c r="I14" s="2"/>
      <c r="J14" s="20" t="s">
        <v>49</v>
      </c>
      <c r="K14" s="20"/>
    </row>
    <row r="15" spans="1:11" ht="26.1" customHeight="1">
      <c r="A15" s="2"/>
      <c r="B15" s="3" t="s">
        <v>30</v>
      </c>
      <c r="C15" s="3" t="s">
        <v>50</v>
      </c>
      <c r="D15" s="3">
        <v>65</v>
      </c>
      <c r="E15" s="5">
        <v>1200000</v>
      </c>
      <c r="F15" s="3">
        <v>56</v>
      </c>
      <c r="G15" s="5">
        <f t="shared" si="0"/>
        <v>67200000</v>
      </c>
      <c r="H15" s="2"/>
      <c r="I15" s="2"/>
      <c r="J15" s="2"/>
      <c r="K15" s="2"/>
    </row>
    <row r="16" spans="1:11" ht="26.1" customHeight="1">
      <c r="A16" s="2"/>
      <c r="B16" s="3" t="s">
        <v>28</v>
      </c>
      <c r="C16" s="3" t="s">
        <v>51</v>
      </c>
      <c r="D16" s="3">
        <v>95</v>
      </c>
      <c r="E16" s="5">
        <v>1370000</v>
      </c>
      <c r="F16" s="3">
        <v>46</v>
      </c>
      <c r="G16" s="5">
        <f t="shared" si="0"/>
        <v>63020000</v>
      </c>
      <c r="H16" s="2"/>
      <c r="I16" s="2"/>
      <c r="J16" s="22" t="s">
        <v>52</v>
      </c>
      <c r="K16" s="22"/>
    </row>
    <row r="17" spans="1:11" ht="26.1" customHeight="1">
      <c r="A17" s="2"/>
      <c r="B17" s="3" t="s">
        <v>30</v>
      </c>
      <c r="C17" s="3" t="s">
        <v>53</v>
      </c>
      <c r="D17" s="3">
        <v>78</v>
      </c>
      <c r="E17" s="5">
        <v>890000</v>
      </c>
      <c r="F17" s="3">
        <v>54</v>
      </c>
      <c r="G17" s="5">
        <f t="shared" si="0"/>
        <v>48060000</v>
      </c>
      <c r="H17" s="2"/>
      <c r="I17" s="2"/>
      <c r="J17" s="22"/>
      <c r="K17" s="22"/>
    </row>
    <row r="18" spans="1:11" ht="26.1" customHeight="1">
      <c r="A18" s="2"/>
      <c r="B18" s="3" t="s">
        <v>28</v>
      </c>
      <c r="C18" s="3" t="s">
        <v>54</v>
      </c>
      <c r="D18" s="3">
        <v>75</v>
      </c>
      <c r="E18" s="5">
        <v>1500000</v>
      </c>
      <c r="F18" s="3">
        <v>73</v>
      </c>
      <c r="G18" s="5">
        <f t="shared" si="0"/>
        <v>109500000</v>
      </c>
      <c r="H18" s="2"/>
      <c r="I18" s="2"/>
      <c r="J18" s="2"/>
      <c r="K18" s="2"/>
    </row>
    <row r="19" spans="1:11" ht="26.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6.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6.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6.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6.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6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6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6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6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6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6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6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6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sortState xmlns:xlrd2="http://schemas.microsoft.com/office/spreadsheetml/2017/richdata2" ref="B4:G18">
    <sortCondition descending="1" ref="B4:B18"/>
  </sortState>
  <mergeCells count="11">
    <mergeCell ref="J16:K17"/>
    <mergeCell ref="J8:K8"/>
    <mergeCell ref="J9:K9"/>
    <mergeCell ref="J10:K10"/>
    <mergeCell ref="J13:K13"/>
    <mergeCell ref="J14:K14"/>
    <mergeCell ref="B1:G1"/>
    <mergeCell ref="J3:K3"/>
    <mergeCell ref="J5:K5"/>
    <mergeCell ref="J6:K6"/>
    <mergeCell ref="J7:K7"/>
  </mergeCells>
  <phoneticPr fontId="6" type="noConversion"/>
  <pageMargins left="0.7" right="0.7" top="0.75" bottom="0.75" header="0.3" footer="0.3"/>
  <pageSetup paperSize="9" scale="9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16491"/>
    <pageSetUpPr fitToPage="1"/>
  </sheetPr>
  <dimension ref="A1:K45"/>
  <sheetViews>
    <sheetView zoomScale="75" zoomScaleNormal="75" workbookViewId="0">
      <pane ySplit="3" topLeftCell="A4" activePane="bottomLeft" state="frozen"/>
      <selection pane="bottomLeft" activeCell="B4" sqref="B4"/>
    </sheetView>
  </sheetViews>
  <sheetFormatPr defaultRowHeight="14.25" outlineLevelRow="3"/>
  <cols>
    <col min="1" max="1" width="3" customWidth="1"/>
    <col min="2" max="2" width="24" customWidth="1"/>
    <col min="3" max="4" width="16" customWidth="1"/>
    <col min="5" max="8" width="19" customWidth="1"/>
    <col min="9" max="9" width="3" customWidth="1"/>
    <col min="10" max="11" width="35" customWidth="1"/>
  </cols>
  <sheetData>
    <row r="1" spans="1:11" ht="26.1" customHeight="1">
      <c r="A1" s="2"/>
      <c r="B1" s="19" t="s">
        <v>20</v>
      </c>
      <c r="C1" s="20"/>
      <c r="D1" s="20"/>
      <c r="E1" s="20"/>
      <c r="F1" s="20"/>
      <c r="G1" s="20"/>
      <c r="H1" s="2"/>
      <c r="I1" s="2"/>
      <c r="J1" s="2"/>
      <c r="K1" s="2"/>
    </row>
    <row r="2" spans="1:11" ht="26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6.1" customHeight="1">
      <c r="A3" s="2"/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2"/>
      <c r="I3" s="2"/>
      <c r="J3" s="21" t="s">
        <v>27</v>
      </c>
      <c r="K3" s="20"/>
    </row>
    <row r="4" spans="1:11" ht="26.1" customHeight="1" outlineLevel="3">
      <c r="A4" s="2"/>
      <c r="B4" s="3" t="s">
        <v>30</v>
      </c>
      <c r="C4" s="3" t="s">
        <v>31</v>
      </c>
      <c r="D4" s="3">
        <v>83</v>
      </c>
      <c r="E4" s="5">
        <v>2450000</v>
      </c>
      <c r="F4" s="7">
        <v>76</v>
      </c>
      <c r="G4" s="5">
        <f t="shared" ref="G4:G9" si="0">E4*F4</f>
        <v>186200000</v>
      </c>
      <c r="H4" s="2"/>
      <c r="I4" s="2"/>
      <c r="J4" s="2"/>
      <c r="K4" s="2"/>
    </row>
    <row r="5" spans="1:11" ht="26.1" customHeight="1" outlineLevel="3">
      <c r="A5" s="2"/>
      <c r="B5" s="3" t="s">
        <v>30</v>
      </c>
      <c r="C5" s="3" t="s">
        <v>36</v>
      </c>
      <c r="D5" s="3">
        <v>45</v>
      </c>
      <c r="E5" s="5">
        <v>780000</v>
      </c>
      <c r="F5" s="7">
        <v>35</v>
      </c>
      <c r="G5" s="5">
        <f t="shared" si="0"/>
        <v>27300000</v>
      </c>
      <c r="H5" s="2"/>
      <c r="I5" s="2"/>
      <c r="J5" s="20" t="s">
        <v>32</v>
      </c>
      <c r="K5" s="20"/>
    </row>
    <row r="6" spans="1:11" ht="26.1" customHeight="1" outlineLevel="3">
      <c r="A6" s="2"/>
      <c r="B6" s="3" t="s">
        <v>30</v>
      </c>
      <c r="C6" s="3" t="s">
        <v>40</v>
      </c>
      <c r="D6" s="3">
        <v>65</v>
      </c>
      <c r="E6" s="5">
        <v>980000</v>
      </c>
      <c r="F6" s="7">
        <v>63</v>
      </c>
      <c r="G6" s="5">
        <f t="shared" si="0"/>
        <v>61740000</v>
      </c>
      <c r="H6" s="2"/>
      <c r="I6" s="2"/>
      <c r="J6" s="20" t="s">
        <v>35</v>
      </c>
      <c r="K6" s="20"/>
    </row>
    <row r="7" spans="1:11" ht="26.1" customHeight="1" outlineLevel="3">
      <c r="A7" s="2"/>
      <c r="B7" s="3" t="s">
        <v>30</v>
      </c>
      <c r="C7" s="3" t="s">
        <v>45</v>
      </c>
      <c r="D7" s="3">
        <v>99</v>
      </c>
      <c r="E7" s="5">
        <v>1000000</v>
      </c>
      <c r="F7" s="7">
        <v>75</v>
      </c>
      <c r="G7" s="5">
        <f t="shared" si="0"/>
        <v>75000000</v>
      </c>
      <c r="H7" s="2"/>
      <c r="I7" s="2"/>
      <c r="J7" s="20" t="s">
        <v>37</v>
      </c>
      <c r="K7" s="20"/>
    </row>
    <row r="8" spans="1:11" ht="26.1" customHeight="1" outlineLevel="3">
      <c r="A8" s="2"/>
      <c r="B8" s="3" t="s">
        <v>30</v>
      </c>
      <c r="C8" s="3" t="s">
        <v>50</v>
      </c>
      <c r="D8" s="3">
        <v>65</v>
      </c>
      <c r="E8" s="5">
        <v>1200000</v>
      </c>
      <c r="F8" s="7">
        <v>56</v>
      </c>
      <c r="G8" s="5">
        <f t="shared" si="0"/>
        <v>67200000</v>
      </c>
      <c r="H8" s="2"/>
      <c r="I8" s="2"/>
      <c r="J8" s="20" t="s">
        <v>39</v>
      </c>
      <c r="K8" s="20"/>
    </row>
    <row r="9" spans="1:11" ht="26.1" customHeight="1" outlineLevel="3">
      <c r="A9" s="2"/>
      <c r="B9" s="3" t="s">
        <v>30</v>
      </c>
      <c r="C9" s="3" t="s">
        <v>53</v>
      </c>
      <c r="D9" s="3">
        <v>78</v>
      </c>
      <c r="E9" s="5">
        <v>890000</v>
      </c>
      <c r="F9" s="7">
        <v>54</v>
      </c>
      <c r="G9" s="5">
        <f t="shared" si="0"/>
        <v>48060000</v>
      </c>
      <c r="H9" s="2"/>
      <c r="I9" s="2"/>
      <c r="J9" s="20" t="s">
        <v>41</v>
      </c>
      <c r="K9" s="20"/>
    </row>
    <row r="10" spans="1:11" ht="26.1" customHeight="1" outlineLevel="2">
      <c r="A10" s="2"/>
      <c r="B10" s="8" t="s">
        <v>74</v>
      </c>
      <c r="C10" s="8"/>
      <c r="D10" s="8"/>
      <c r="E10" s="9">
        <f>SUBTOTAL(9,E4:E9)</f>
        <v>7300000</v>
      </c>
      <c r="F10" s="10"/>
      <c r="G10" s="9"/>
      <c r="H10" s="2"/>
      <c r="I10" s="2"/>
      <c r="J10" s="2"/>
      <c r="K10" s="2"/>
    </row>
    <row r="11" spans="1:11" ht="26.1" customHeight="1" outlineLevel="1">
      <c r="A11" s="2"/>
      <c r="B11" s="8" t="s">
        <v>70</v>
      </c>
      <c r="C11" s="8"/>
      <c r="D11" s="8"/>
      <c r="E11" s="9"/>
      <c r="F11" s="11">
        <f>SUBTOTAL(1,F4:F9)</f>
        <v>59.833333333333336</v>
      </c>
      <c r="G11" s="9"/>
      <c r="H11" s="2"/>
      <c r="I11" s="2"/>
      <c r="J11" s="2"/>
      <c r="K11" s="2"/>
    </row>
    <row r="12" spans="1:11" ht="26.1" customHeight="1" outlineLevel="3">
      <c r="A12" s="2"/>
      <c r="B12" s="3" t="s">
        <v>28</v>
      </c>
      <c r="C12" s="3" t="s">
        <v>29</v>
      </c>
      <c r="D12" s="3">
        <v>75</v>
      </c>
      <c r="E12" s="5">
        <v>1600000</v>
      </c>
      <c r="F12" s="7">
        <v>71</v>
      </c>
      <c r="G12" s="5">
        <f t="shared" ref="G12:G17" si="1">E12*F12</f>
        <v>113600000</v>
      </c>
      <c r="H12" s="2"/>
      <c r="I12" s="2"/>
      <c r="J12" s="20" t="s">
        <v>43</v>
      </c>
      <c r="K12" s="20"/>
    </row>
    <row r="13" spans="1:11" ht="26.1" customHeight="1" outlineLevel="3">
      <c r="A13" s="2"/>
      <c r="B13" s="3" t="s">
        <v>28</v>
      </c>
      <c r="C13" s="3" t="s">
        <v>38</v>
      </c>
      <c r="D13" s="3">
        <v>65</v>
      </c>
      <c r="E13" s="5">
        <v>1400000</v>
      </c>
      <c r="F13" s="7">
        <v>61</v>
      </c>
      <c r="G13" s="5">
        <f t="shared" si="1"/>
        <v>85400000</v>
      </c>
      <c r="H13" s="2"/>
      <c r="I13" s="2"/>
      <c r="J13" s="2"/>
      <c r="K13" s="2"/>
    </row>
    <row r="14" spans="1:11" ht="26.1" customHeight="1" outlineLevel="3">
      <c r="A14" s="2"/>
      <c r="B14" s="3" t="s">
        <v>28</v>
      </c>
      <c r="C14" s="3" t="s">
        <v>44</v>
      </c>
      <c r="D14" s="3">
        <v>85</v>
      </c>
      <c r="E14" s="5">
        <v>1600000</v>
      </c>
      <c r="F14" s="7">
        <v>85</v>
      </c>
      <c r="G14" s="5">
        <f t="shared" si="1"/>
        <v>136000000</v>
      </c>
      <c r="H14" s="2"/>
      <c r="I14" s="2"/>
      <c r="J14" s="2"/>
      <c r="K14" s="2"/>
    </row>
    <row r="15" spans="1:11" ht="26.1" customHeight="1" outlineLevel="3">
      <c r="A15" s="2"/>
      <c r="B15" s="3" t="s">
        <v>28</v>
      </c>
      <c r="C15" s="3" t="s">
        <v>48</v>
      </c>
      <c r="D15" s="3">
        <v>33</v>
      </c>
      <c r="E15" s="5">
        <v>1740000</v>
      </c>
      <c r="F15" s="7">
        <v>68</v>
      </c>
      <c r="G15" s="5">
        <f t="shared" si="1"/>
        <v>118320000</v>
      </c>
      <c r="H15" s="2"/>
      <c r="I15" s="2"/>
      <c r="J15" s="20" t="s">
        <v>47</v>
      </c>
      <c r="K15" s="20"/>
    </row>
    <row r="16" spans="1:11" ht="26.1" customHeight="1" outlineLevel="3">
      <c r="A16" s="2"/>
      <c r="B16" s="3" t="s">
        <v>28</v>
      </c>
      <c r="C16" s="3" t="s">
        <v>51</v>
      </c>
      <c r="D16" s="3">
        <v>95</v>
      </c>
      <c r="E16" s="5">
        <v>1370000</v>
      </c>
      <c r="F16" s="7">
        <v>46</v>
      </c>
      <c r="G16" s="5">
        <f t="shared" si="1"/>
        <v>63020000</v>
      </c>
      <c r="H16" s="2"/>
      <c r="I16" s="2"/>
      <c r="J16" s="20" t="s">
        <v>49</v>
      </c>
      <c r="K16" s="20"/>
    </row>
    <row r="17" spans="1:11" ht="26.1" customHeight="1" outlineLevel="3">
      <c r="A17" s="2"/>
      <c r="B17" s="3" t="s">
        <v>28</v>
      </c>
      <c r="C17" s="3" t="s">
        <v>54</v>
      </c>
      <c r="D17" s="3">
        <v>75</v>
      </c>
      <c r="E17" s="5">
        <v>1500000</v>
      </c>
      <c r="F17" s="7">
        <v>73</v>
      </c>
      <c r="G17" s="5">
        <f t="shared" si="1"/>
        <v>109500000</v>
      </c>
      <c r="H17" s="2"/>
      <c r="I17" s="2"/>
      <c r="J17" s="2"/>
      <c r="K17" s="2"/>
    </row>
    <row r="18" spans="1:11" ht="26.1" customHeight="1" outlineLevel="2">
      <c r="A18" s="2"/>
      <c r="B18" s="8" t="s">
        <v>75</v>
      </c>
      <c r="C18" s="8"/>
      <c r="D18" s="8"/>
      <c r="E18" s="9">
        <f>SUBTOTAL(9,E12:E17)</f>
        <v>9210000</v>
      </c>
      <c r="F18" s="10"/>
      <c r="G18" s="9"/>
      <c r="H18" s="2"/>
      <c r="I18" s="2"/>
      <c r="J18" s="2"/>
      <c r="K18" s="2"/>
    </row>
    <row r="19" spans="1:11" ht="26.1" customHeight="1" outlineLevel="1">
      <c r="A19" s="2"/>
      <c r="B19" s="8" t="s">
        <v>71</v>
      </c>
      <c r="C19" s="8"/>
      <c r="D19" s="8"/>
      <c r="E19" s="9"/>
      <c r="F19" s="11">
        <f>SUBTOTAL(1,F12:F17)</f>
        <v>67.333333333333329</v>
      </c>
      <c r="G19" s="9"/>
      <c r="H19" s="2"/>
      <c r="I19" s="2"/>
      <c r="J19" s="2"/>
      <c r="K19" s="2"/>
    </row>
    <row r="20" spans="1:11" ht="26.1" customHeight="1" outlineLevel="3">
      <c r="A20" s="2"/>
      <c r="B20" s="3" t="s">
        <v>33</v>
      </c>
      <c r="C20" s="3" t="s">
        <v>34</v>
      </c>
      <c r="D20" s="3">
        <v>75</v>
      </c>
      <c r="E20" s="5">
        <v>1200000</v>
      </c>
      <c r="F20" s="7">
        <v>45</v>
      </c>
      <c r="G20" s="5">
        <f>E20*F20</f>
        <v>54000000</v>
      </c>
      <c r="H20" s="2"/>
      <c r="I20" s="2"/>
      <c r="J20" s="22" t="s">
        <v>52</v>
      </c>
      <c r="K20" s="22"/>
    </row>
    <row r="21" spans="1:11" ht="26.1" customHeight="1" outlineLevel="3">
      <c r="A21" s="2"/>
      <c r="B21" s="3" t="s">
        <v>33</v>
      </c>
      <c r="C21" s="3" t="s">
        <v>42</v>
      </c>
      <c r="D21" s="3">
        <v>55</v>
      </c>
      <c r="E21" s="5">
        <v>1540000</v>
      </c>
      <c r="F21" s="7">
        <v>42</v>
      </c>
      <c r="G21" s="5">
        <f>E21*F21</f>
        <v>64680000</v>
      </c>
      <c r="H21" s="2"/>
      <c r="I21" s="2"/>
      <c r="J21" s="22"/>
      <c r="K21" s="22"/>
    </row>
    <row r="22" spans="1:11" ht="26.1" customHeight="1" outlineLevel="3">
      <c r="A22" s="2"/>
      <c r="B22" s="3" t="s">
        <v>33</v>
      </c>
      <c r="C22" s="3" t="s">
        <v>46</v>
      </c>
      <c r="D22" s="3">
        <v>95</v>
      </c>
      <c r="E22" s="5">
        <v>1200000</v>
      </c>
      <c r="F22" s="7">
        <v>50</v>
      </c>
      <c r="G22" s="5">
        <f>E22*F22</f>
        <v>60000000</v>
      </c>
      <c r="H22" s="2"/>
      <c r="I22" s="2"/>
      <c r="J22" s="2"/>
      <c r="K22" s="2"/>
    </row>
    <row r="23" spans="1:11" ht="26.1" customHeight="1" outlineLevel="2">
      <c r="A23" s="2"/>
      <c r="B23" s="12" t="s">
        <v>76</v>
      </c>
      <c r="C23" s="12"/>
      <c r="D23" s="12"/>
      <c r="E23" s="13">
        <f>SUBTOTAL(9,E20:E22)</f>
        <v>3940000</v>
      </c>
      <c r="F23" s="14"/>
      <c r="G23" s="13"/>
      <c r="H23" s="2"/>
      <c r="I23" s="2"/>
      <c r="J23" s="2"/>
      <c r="K23" s="2"/>
    </row>
    <row r="24" spans="1:11" ht="26.1" customHeight="1" outlineLevel="1">
      <c r="A24" s="2"/>
      <c r="B24" s="12" t="s">
        <v>72</v>
      </c>
      <c r="C24" s="12"/>
      <c r="D24" s="12"/>
      <c r="E24" s="13"/>
      <c r="F24" s="15">
        <f>SUBTOTAL(1,F20:F22)</f>
        <v>45.666666666666664</v>
      </c>
      <c r="G24" s="13"/>
      <c r="H24" s="2"/>
      <c r="I24" s="2"/>
      <c r="J24" s="2"/>
      <c r="K24" s="2"/>
    </row>
    <row r="25" spans="1:11" ht="26.1" customHeight="1">
      <c r="A25" s="2"/>
      <c r="B25" s="12" t="s">
        <v>77</v>
      </c>
      <c r="C25" s="12"/>
      <c r="D25" s="12"/>
      <c r="E25" s="13">
        <f>SUBTOTAL(9,E4:E22)</f>
        <v>20450000</v>
      </c>
      <c r="F25" s="14"/>
      <c r="G25" s="13"/>
      <c r="H25" s="2"/>
      <c r="I25" s="2"/>
      <c r="J25" s="2"/>
      <c r="K25" s="2"/>
    </row>
    <row r="26" spans="1:11" ht="26.1" customHeight="1">
      <c r="A26" s="2"/>
      <c r="B26" s="12" t="s">
        <v>73</v>
      </c>
      <c r="C26" s="12"/>
      <c r="D26" s="12"/>
      <c r="E26" s="13"/>
      <c r="F26" s="15">
        <f>SUBTOTAL(1,F4:F22)</f>
        <v>60</v>
      </c>
      <c r="G26" s="13"/>
      <c r="H26" s="2"/>
      <c r="I26" s="2"/>
      <c r="J26" s="2"/>
      <c r="K26" s="2"/>
    </row>
    <row r="27" spans="1:11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6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6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6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6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6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6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26.1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ht="26.1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ht="26.1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ht="26.1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ht="26.1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ht="26.1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ht="26.1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ht="26.1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</sheetData>
  <sortState xmlns:xlrd2="http://schemas.microsoft.com/office/spreadsheetml/2017/richdata2" ref="B4:G22">
    <sortCondition descending="1" ref="B4:B22"/>
  </sortState>
  <mergeCells count="11">
    <mergeCell ref="J20:K21"/>
    <mergeCell ref="J8:K8"/>
    <mergeCell ref="J9:K9"/>
    <mergeCell ref="J12:K12"/>
    <mergeCell ref="J15:K15"/>
    <mergeCell ref="J16:K16"/>
    <mergeCell ref="B1:G1"/>
    <mergeCell ref="J3:K3"/>
    <mergeCell ref="J5:K5"/>
    <mergeCell ref="J6:K6"/>
    <mergeCell ref="J7:K7"/>
  </mergeCells>
  <phoneticPr fontId="6" type="noConversion"/>
  <pageMargins left="0.7" right="0.7" top="0.75" bottom="0.75" header="0.3" footer="0.3"/>
  <pageSetup paperSize="9" scale="6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8AA28"/>
    <pageSetUpPr fitToPage="1"/>
  </sheetPr>
  <dimension ref="A1:K37"/>
  <sheetViews>
    <sheetView workbookViewId="0">
      <pane ySplit="3" topLeftCell="A4" activePane="bottomLeft" state="frozen"/>
      <selection pane="bottomLeft"/>
    </sheetView>
  </sheetViews>
  <sheetFormatPr defaultRowHeight="14.25"/>
  <cols>
    <col min="1" max="1" width="3" customWidth="1"/>
    <col min="2" max="2" width="24" customWidth="1"/>
    <col min="3" max="4" width="16" customWidth="1"/>
    <col min="5" max="8" width="19" customWidth="1"/>
    <col min="9" max="9" width="3" customWidth="1"/>
    <col min="10" max="11" width="35" customWidth="1"/>
  </cols>
  <sheetData>
    <row r="1" spans="1:11" ht="26.1" customHeight="1">
      <c r="A1" s="2"/>
      <c r="B1" s="19" t="s">
        <v>55</v>
      </c>
      <c r="C1" s="20"/>
      <c r="D1" s="20"/>
      <c r="E1" s="20"/>
      <c r="F1" s="20"/>
      <c r="G1" s="20"/>
      <c r="H1" s="20"/>
      <c r="I1" s="2"/>
      <c r="J1" s="2"/>
      <c r="K1" s="2"/>
    </row>
    <row r="2" spans="1:11" ht="26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6.1" customHeight="1">
      <c r="A3" s="2"/>
      <c r="B3" s="4" t="s">
        <v>21</v>
      </c>
      <c r="C3" s="4" t="s">
        <v>56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2"/>
      <c r="J3" s="21" t="s">
        <v>57</v>
      </c>
      <c r="K3" s="20"/>
    </row>
    <row r="4" spans="1:11" ht="26.1" customHeight="1">
      <c r="A4" s="2"/>
      <c r="B4" s="3" t="s">
        <v>28</v>
      </c>
      <c r="C4" s="3" t="s">
        <v>58</v>
      </c>
      <c r="D4" s="3" t="s">
        <v>29</v>
      </c>
      <c r="E4" s="3">
        <v>75</v>
      </c>
      <c r="F4" s="5">
        <v>1600000</v>
      </c>
      <c r="G4" s="3">
        <v>71</v>
      </c>
      <c r="H4" s="5">
        <f t="shared" ref="H4:H18" si="0">F4*G4</f>
        <v>113600000</v>
      </c>
      <c r="I4" s="2"/>
      <c r="J4" s="2"/>
      <c r="K4" s="2"/>
    </row>
    <row r="5" spans="1:11" ht="26.1" customHeight="1">
      <c r="A5" s="2"/>
      <c r="B5" s="3" t="s">
        <v>30</v>
      </c>
      <c r="C5" s="3" t="s">
        <v>59</v>
      </c>
      <c r="D5" s="3" t="s">
        <v>50</v>
      </c>
      <c r="E5" s="3">
        <v>65</v>
      </c>
      <c r="F5" s="5">
        <v>1200000</v>
      </c>
      <c r="G5" s="3">
        <v>56</v>
      </c>
      <c r="H5" s="5">
        <f t="shared" si="0"/>
        <v>67200000</v>
      </c>
      <c r="I5" s="2"/>
      <c r="J5" s="20" t="s">
        <v>60</v>
      </c>
      <c r="K5" s="20"/>
    </row>
    <row r="6" spans="1:11" ht="26.1" customHeight="1">
      <c r="A6" s="2"/>
      <c r="B6" s="3" t="s">
        <v>30</v>
      </c>
      <c r="C6" s="3" t="s">
        <v>61</v>
      </c>
      <c r="D6" s="3" t="s">
        <v>53</v>
      </c>
      <c r="E6" s="3">
        <v>78</v>
      </c>
      <c r="F6" s="5">
        <v>890000</v>
      </c>
      <c r="G6" s="3">
        <v>54</v>
      </c>
      <c r="H6" s="5">
        <f t="shared" si="0"/>
        <v>48060000</v>
      </c>
      <c r="I6" s="2"/>
      <c r="J6" s="20" t="s">
        <v>62</v>
      </c>
      <c r="K6" s="20"/>
    </row>
    <row r="7" spans="1:11" ht="26.1" customHeight="1">
      <c r="A7" s="2"/>
      <c r="B7" s="3" t="s">
        <v>28</v>
      </c>
      <c r="C7" s="3" t="s">
        <v>63</v>
      </c>
      <c r="D7" s="3" t="s">
        <v>54</v>
      </c>
      <c r="E7" s="3">
        <v>75</v>
      </c>
      <c r="F7" s="5">
        <v>1500000</v>
      </c>
      <c r="G7" s="3">
        <v>73</v>
      </c>
      <c r="H7" s="5">
        <f t="shared" si="0"/>
        <v>109500000</v>
      </c>
      <c r="I7" s="2"/>
      <c r="J7" s="20" t="s">
        <v>64</v>
      </c>
      <c r="K7" s="20"/>
    </row>
    <row r="8" spans="1:11" ht="26.1" customHeight="1">
      <c r="A8" s="2"/>
      <c r="B8" s="3" t="s">
        <v>33</v>
      </c>
      <c r="C8" s="3" t="s">
        <v>65</v>
      </c>
      <c r="D8" s="3" t="s">
        <v>46</v>
      </c>
      <c r="E8" s="3">
        <v>95</v>
      </c>
      <c r="F8" s="5">
        <v>1200000</v>
      </c>
      <c r="G8" s="3">
        <v>50</v>
      </c>
      <c r="H8" s="5">
        <f t="shared" si="0"/>
        <v>60000000</v>
      </c>
      <c r="I8" s="2"/>
      <c r="J8" s="20" t="s">
        <v>66</v>
      </c>
      <c r="K8" s="20"/>
    </row>
    <row r="9" spans="1:11" ht="26.1" customHeight="1">
      <c r="A9" s="2"/>
      <c r="B9" s="3" t="s">
        <v>30</v>
      </c>
      <c r="C9" s="3" t="s">
        <v>59</v>
      </c>
      <c r="D9" s="3" t="s">
        <v>31</v>
      </c>
      <c r="E9" s="3">
        <v>45</v>
      </c>
      <c r="F9" s="5">
        <v>970000</v>
      </c>
      <c r="G9" s="3">
        <v>76</v>
      </c>
      <c r="H9" s="5">
        <f t="shared" si="0"/>
        <v>73720000</v>
      </c>
      <c r="I9" s="2"/>
      <c r="J9" s="20" t="s">
        <v>67</v>
      </c>
      <c r="K9" s="20"/>
    </row>
    <row r="10" spans="1:11" ht="26.1" customHeight="1">
      <c r="A10" s="2"/>
      <c r="B10" s="3" t="s">
        <v>33</v>
      </c>
      <c r="C10" s="3" t="s">
        <v>61</v>
      </c>
      <c r="D10" s="3" t="s">
        <v>42</v>
      </c>
      <c r="E10" s="3">
        <v>55</v>
      </c>
      <c r="F10" s="5">
        <v>1540000</v>
      </c>
      <c r="G10" s="3">
        <v>42</v>
      </c>
      <c r="H10" s="5">
        <f t="shared" si="0"/>
        <v>64680000</v>
      </c>
      <c r="I10" s="2"/>
      <c r="J10" s="20" t="s">
        <v>68</v>
      </c>
      <c r="K10" s="20"/>
    </row>
    <row r="11" spans="1:11" ht="26.1" customHeight="1">
      <c r="A11" s="2"/>
      <c r="B11" s="3" t="s">
        <v>28</v>
      </c>
      <c r="C11" s="3" t="s">
        <v>58</v>
      </c>
      <c r="D11" s="3" t="s">
        <v>51</v>
      </c>
      <c r="E11" s="3">
        <v>95</v>
      </c>
      <c r="F11" s="5">
        <v>1370000</v>
      </c>
      <c r="G11" s="3">
        <v>46</v>
      </c>
      <c r="H11" s="5">
        <f t="shared" si="0"/>
        <v>63020000</v>
      </c>
      <c r="I11" s="2"/>
      <c r="J11" s="2"/>
      <c r="K11" s="2"/>
    </row>
    <row r="12" spans="1:11" ht="26.1" customHeight="1">
      <c r="A12" s="2"/>
      <c r="B12" s="3" t="s">
        <v>28</v>
      </c>
      <c r="C12" s="3" t="s">
        <v>59</v>
      </c>
      <c r="D12" s="3" t="s">
        <v>38</v>
      </c>
      <c r="E12" s="3">
        <v>65</v>
      </c>
      <c r="F12" s="5">
        <v>1400000</v>
      </c>
      <c r="G12" s="3">
        <v>61</v>
      </c>
      <c r="H12" s="5">
        <f t="shared" si="0"/>
        <v>85400000</v>
      </c>
      <c r="I12" s="2"/>
      <c r="J12" s="2"/>
      <c r="K12" s="2"/>
    </row>
    <row r="13" spans="1:11" ht="26.1" customHeight="1">
      <c r="A13" s="2"/>
      <c r="B13" s="3" t="s">
        <v>30</v>
      </c>
      <c r="C13" s="3" t="s">
        <v>69</v>
      </c>
      <c r="D13" s="3" t="s">
        <v>36</v>
      </c>
      <c r="E13" s="3">
        <v>45</v>
      </c>
      <c r="F13" s="5">
        <v>780000</v>
      </c>
      <c r="G13" s="3">
        <v>35</v>
      </c>
      <c r="H13" s="5">
        <f t="shared" si="0"/>
        <v>27300000</v>
      </c>
      <c r="I13" s="2"/>
      <c r="J13" s="20" t="s">
        <v>47</v>
      </c>
      <c r="K13" s="20"/>
    </row>
    <row r="14" spans="1:11" ht="26.1" customHeight="1">
      <c r="A14" s="2"/>
      <c r="B14" s="3" t="s">
        <v>30</v>
      </c>
      <c r="C14" s="3" t="s">
        <v>65</v>
      </c>
      <c r="D14" s="3" t="s">
        <v>45</v>
      </c>
      <c r="E14" s="3">
        <v>99</v>
      </c>
      <c r="F14" s="5">
        <v>1000000</v>
      </c>
      <c r="G14" s="3">
        <v>75</v>
      </c>
      <c r="H14" s="5">
        <f t="shared" si="0"/>
        <v>75000000</v>
      </c>
      <c r="I14" s="2"/>
      <c r="J14" s="20" t="s">
        <v>49</v>
      </c>
      <c r="K14" s="20"/>
    </row>
    <row r="15" spans="1:11" ht="26.1" customHeight="1">
      <c r="A15" s="2"/>
      <c r="B15" s="3" t="s">
        <v>28</v>
      </c>
      <c r="C15" s="3" t="s">
        <v>59</v>
      </c>
      <c r="D15" s="3" t="s">
        <v>48</v>
      </c>
      <c r="E15" s="3">
        <v>33</v>
      </c>
      <c r="F15" s="5">
        <v>1740000</v>
      </c>
      <c r="G15" s="3">
        <v>68</v>
      </c>
      <c r="H15" s="5">
        <f t="shared" si="0"/>
        <v>118320000</v>
      </c>
      <c r="I15" s="2"/>
      <c r="J15" s="2"/>
      <c r="K15" s="2"/>
    </row>
    <row r="16" spans="1:11" ht="26.1" customHeight="1">
      <c r="A16" s="2"/>
      <c r="B16" s="3" t="s">
        <v>30</v>
      </c>
      <c r="C16" s="3" t="s">
        <v>69</v>
      </c>
      <c r="D16" s="3" t="s">
        <v>40</v>
      </c>
      <c r="E16" s="3">
        <v>65</v>
      </c>
      <c r="F16" s="5">
        <v>980000</v>
      </c>
      <c r="G16" s="3">
        <v>63</v>
      </c>
      <c r="H16" s="5">
        <f t="shared" si="0"/>
        <v>61740000</v>
      </c>
      <c r="I16" s="2"/>
      <c r="J16" s="22" t="s">
        <v>52</v>
      </c>
      <c r="K16" s="22"/>
    </row>
    <row r="17" spans="1:11" ht="26.1" customHeight="1">
      <c r="A17" s="2"/>
      <c r="B17" s="3" t="s">
        <v>28</v>
      </c>
      <c r="C17" s="3" t="s">
        <v>63</v>
      </c>
      <c r="D17" s="3" t="s">
        <v>44</v>
      </c>
      <c r="E17" s="3">
        <v>85</v>
      </c>
      <c r="F17" s="5">
        <v>1600000</v>
      </c>
      <c r="G17" s="3">
        <v>85</v>
      </c>
      <c r="H17" s="5">
        <f t="shared" si="0"/>
        <v>136000000</v>
      </c>
      <c r="I17" s="2"/>
      <c r="J17" s="22"/>
      <c r="K17" s="22"/>
    </row>
    <row r="18" spans="1:11" ht="26.1" customHeight="1">
      <c r="A18" s="2"/>
      <c r="B18" s="3" t="s">
        <v>33</v>
      </c>
      <c r="C18" s="3" t="s">
        <v>58</v>
      </c>
      <c r="D18" s="3" t="s">
        <v>34</v>
      </c>
      <c r="E18" s="3">
        <v>75</v>
      </c>
      <c r="F18" s="5">
        <v>1200000</v>
      </c>
      <c r="G18" s="3">
        <v>45</v>
      </c>
      <c r="H18" s="5">
        <f t="shared" si="0"/>
        <v>54000000</v>
      </c>
      <c r="I18" s="2"/>
      <c r="J18" s="2"/>
      <c r="K18" s="2"/>
    </row>
    <row r="19" spans="1:11" ht="26.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6.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6.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6.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6.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6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6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6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6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6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6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6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6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mergeCells count="11">
    <mergeCell ref="J16:K17"/>
    <mergeCell ref="J8:K8"/>
    <mergeCell ref="J9:K9"/>
    <mergeCell ref="J10:K10"/>
    <mergeCell ref="J13:K13"/>
    <mergeCell ref="J14:K14"/>
    <mergeCell ref="B1:H1"/>
    <mergeCell ref="J3:K3"/>
    <mergeCell ref="J5:K5"/>
    <mergeCell ref="J6:K6"/>
    <mergeCell ref="J7:K7"/>
  </mergeCells>
  <phoneticPr fontId="6" type="noConversion"/>
  <pageMargins left="0.7" right="0.7" top="0.75" bottom="0.75" header="0.3" footer="0.3"/>
  <pageSetup paperSize="9" scale="9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16491"/>
    <pageSetUpPr fitToPage="1"/>
  </sheetPr>
  <dimension ref="A1:K37"/>
  <sheetViews>
    <sheetView zoomScale="90" zoomScaleNormal="90" workbookViewId="0">
      <pane ySplit="3" topLeftCell="A4" activePane="bottomLeft" state="frozen"/>
      <selection pane="bottomLeft" activeCell="B4" sqref="B4"/>
    </sheetView>
  </sheetViews>
  <sheetFormatPr defaultRowHeight="14.25"/>
  <cols>
    <col min="1" max="1" width="3" customWidth="1"/>
    <col min="2" max="2" width="24" customWidth="1"/>
    <col min="3" max="4" width="16" customWidth="1"/>
    <col min="5" max="8" width="19" customWidth="1"/>
    <col min="9" max="9" width="3" customWidth="1"/>
    <col min="10" max="11" width="35" customWidth="1"/>
  </cols>
  <sheetData>
    <row r="1" spans="1:11" ht="26.1" customHeight="1">
      <c r="A1" s="2"/>
      <c r="B1" s="19" t="s">
        <v>55</v>
      </c>
      <c r="C1" s="20"/>
      <c r="D1" s="20"/>
      <c r="E1" s="20"/>
      <c r="F1" s="20"/>
      <c r="G1" s="20"/>
      <c r="H1" s="20"/>
      <c r="I1" s="2"/>
      <c r="J1" s="2"/>
      <c r="K1" s="2"/>
    </row>
    <row r="2" spans="1:11" ht="26.1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26.1" customHeight="1">
      <c r="A3" s="2"/>
      <c r="B3" s="4" t="s">
        <v>21</v>
      </c>
      <c r="C3" s="4" t="s">
        <v>56</v>
      </c>
      <c r="D3" s="4" t="s">
        <v>22</v>
      </c>
      <c r="E3" s="4" t="s">
        <v>23</v>
      </c>
      <c r="F3" s="4" t="s">
        <v>24</v>
      </c>
      <c r="G3" s="4" t="s">
        <v>25</v>
      </c>
      <c r="H3" s="4" t="s">
        <v>26</v>
      </c>
      <c r="I3" s="2"/>
      <c r="J3" s="21" t="s">
        <v>57</v>
      </c>
      <c r="K3" s="20"/>
    </row>
    <row r="4" spans="1:11" ht="26.1" customHeight="1">
      <c r="A4" s="2"/>
      <c r="B4" s="3" t="s">
        <v>30</v>
      </c>
      <c r="C4" s="3" t="s">
        <v>59</v>
      </c>
      <c r="D4" s="3" t="s">
        <v>50</v>
      </c>
      <c r="E4" s="3">
        <v>65</v>
      </c>
      <c r="F4" s="5">
        <v>1200000</v>
      </c>
      <c r="G4" s="3">
        <v>56</v>
      </c>
      <c r="H4" s="5">
        <f t="shared" ref="H4:H18" si="0">F4*G4</f>
        <v>67200000</v>
      </c>
      <c r="I4" s="2"/>
      <c r="J4" s="2"/>
      <c r="K4" s="2"/>
    </row>
    <row r="5" spans="1:11" ht="26.1" customHeight="1">
      <c r="A5" s="2"/>
      <c r="B5" s="3" t="s">
        <v>28</v>
      </c>
      <c r="C5" s="3" t="s">
        <v>59</v>
      </c>
      <c r="D5" s="3" t="s">
        <v>38</v>
      </c>
      <c r="E5" s="3">
        <v>65</v>
      </c>
      <c r="F5" s="5">
        <v>1400000</v>
      </c>
      <c r="G5" s="3">
        <v>61</v>
      </c>
      <c r="H5" s="5">
        <f t="shared" si="0"/>
        <v>85400000</v>
      </c>
      <c r="I5" s="2"/>
      <c r="J5" s="20" t="s">
        <v>60</v>
      </c>
      <c r="K5" s="20"/>
    </row>
    <row r="6" spans="1:11" ht="26.1" customHeight="1">
      <c r="A6" s="2"/>
      <c r="B6" s="3" t="s">
        <v>30</v>
      </c>
      <c r="C6" s="3" t="s">
        <v>59</v>
      </c>
      <c r="D6" s="3" t="s">
        <v>31</v>
      </c>
      <c r="E6" s="3">
        <v>45</v>
      </c>
      <c r="F6" s="5">
        <v>970000</v>
      </c>
      <c r="G6" s="3">
        <v>76</v>
      </c>
      <c r="H6" s="5">
        <f t="shared" si="0"/>
        <v>73720000</v>
      </c>
      <c r="I6" s="2"/>
      <c r="J6" s="20" t="s">
        <v>62</v>
      </c>
      <c r="K6" s="20"/>
    </row>
    <row r="7" spans="1:11" ht="26.1" customHeight="1">
      <c r="A7" s="2"/>
      <c r="B7" s="3" t="s">
        <v>28</v>
      </c>
      <c r="C7" s="3" t="s">
        <v>59</v>
      </c>
      <c r="D7" s="3" t="s">
        <v>48</v>
      </c>
      <c r="E7" s="3">
        <v>33</v>
      </c>
      <c r="F7" s="5">
        <v>1740000</v>
      </c>
      <c r="G7" s="3">
        <v>68</v>
      </c>
      <c r="H7" s="5">
        <f t="shared" si="0"/>
        <v>118320000</v>
      </c>
      <c r="I7" s="2"/>
      <c r="J7" s="20" t="s">
        <v>64</v>
      </c>
      <c r="K7" s="20"/>
    </row>
    <row r="8" spans="1:11" ht="26.1" customHeight="1">
      <c r="A8" s="2"/>
      <c r="B8" s="3" t="s">
        <v>28</v>
      </c>
      <c r="C8" s="3" t="s">
        <v>63</v>
      </c>
      <c r="D8" s="3" t="s">
        <v>44</v>
      </c>
      <c r="E8" s="3">
        <v>85</v>
      </c>
      <c r="F8" s="5">
        <v>1600000</v>
      </c>
      <c r="G8" s="3">
        <v>85</v>
      </c>
      <c r="H8" s="5">
        <f t="shared" si="0"/>
        <v>136000000</v>
      </c>
      <c r="I8" s="2"/>
      <c r="J8" s="20" t="s">
        <v>66</v>
      </c>
      <c r="K8" s="20"/>
    </row>
    <row r="9" spans="1:11" ht="26.1" customHeight="1">
      <c r="A9" s="2"/>
      <c r="B9" s="3" t="s">
        <v>28</v>
      </c>
      <c r="C9" s="3" t="s">
        <v>63</v>
      </c>
      <c r="D9" s="3" t="s">
        <v>54</v>
      </c>
      <c r="E9" s="3">
        <v>75</v>
      </c>
      <c r="F9" s="5">
        <v>1500000</v>
      </c>
      <c r="G9" s="3">
        <v>73</v>
      </c>
      <c r="H9" s="5">
        <f t="shared" si="0"/>
        <v>109500000</v>
      </c>
      <c r="I9" s="2"/>
      <c r="J9" s="20" t="s">
        <v>67</v>
      </c>
      <c r="K9" s="20"/>
    </row>
    <row r="10" spans="1:11" ht="26.1" customHeight="1">
      <c r="A10" s="2"/>
      <c r="B10" s="3" t="s">
        <v>28</v>
      </c>
      <c r="C10" s="3" t="s">
        <v>58</v>
      </c>
      <c r="D10" s="3" t="s">
        <v>51</v>
      </c>
      <c r="E10" s="3">
        <v>95</v>
      </c>
      <c r="F10" s="5">
        <v>1370000</v>
      </c>
      <c r="G10" s="3">
        <v>46</v>
      </c>
      <c r="H10" s="5">
        <f t="shared" si="0"/>
        <v>63020000</v>
      </c>
      <c r="I10" s="2"/>
      <c r="J10" s="20" t="s">
        <v>68</v>
      </c>
      <c r="K10" s="20"/>
    </row>
    <row r="11" spans="1:11" ht="26.1" customHeight="1">
      <c r="A11" s="2"/>
      <c r="B11" s="3" t="s">
        <v>28</v>
      </c>
      <c r="C11" s="3" t="s">
        <v>58</v>
      </c>
      <c r="D11" s="3" t="s">
        <v>29</v>
      </c>
      <c r="E11" s="3">
        <v>75</v>
      </c>
      <c r="F11" s="5">
        <v>1600000</v>
      </c>
      <c r="G11" s="3">
        <v>71</v>
      </c>
      <c r="H11" s="5">
        <f t="shared" si="0"/>
        <v>113600000</v>
      </c>
      <c r="I11" s="2"/>
      <c r="J11" s="2"/>
      <c r="K11" s="2"/>
    </row>
    <row r="12" spans="1:11" ht="26.1" customHeight="1">
      <c r="A12" s="2"/>
      <c r="B12" s="3" t="s">
        <v>33</v>
      </c>
      <c r="C12" s="3" t="s">
        <v>58</v>
      </c>
      <c r="D12" s="3" t="s">
        <v>34</v>
      </c>
      <c r="E12" s="3">
        <v>75</v>
      </c>
      <c r="F12" s="5">
        <v>1200000</v>
      </c>
      <c r="G12" s="3">
        <v>45</v>
      </c>
      <c r="H12" s="5">
        <f t="shared" si="0"/>
        <v>54000000</v>
      </c>
      <c r="I12" s="2"/>
      <c r="J12" s="2"/>
      <c r="K12" s="2"/>
    </row>
    <row r="13" spans="1:11" ht="26.1" customHeight="1">
      <c r="A13" s="2"/>
      <c r="B13" s="3" t="s">
        <v>30</v>
      </c>
      <c r="C13" s="3" t="s">
        <v>65</v>
      </c>
      <c r="D13" s="3" t="s">
        <v>45</v>
      </c>
      <c r="E13" s="3">
        <v>99</v>
      </c>
      <c r="F13" s="5">
        <v>1000000</v>
      </c>
      <c r="G13" s="3">
        <v>75</v>
      </c>
      <c r="H13" s="5">
        <f t="shared" si="0"/>
        <v>75000000</v>
      </c>
      <c r="I13" s="2"/>
      <c r="J13" s="20" t="s">
        <v>47</v>
      </c>
      <c r="K13" s="20"/>
    </row>
    <row r="14" spans="1:11" ht="26.1" customHeight="1">
      <c r="A14" s="2"/>
      <c r="B14" s="3" t="s">
        <v>33</v>
      </c>
      <c r="C14" s="3" t="s">
        <v>65</v>
      </c>
      <c r="D14" s="3" t="s">
        <v>46</v>
      </c>
      <c r="E14" s="3">
        <v>95</v>
      </c>
      <c r="F14" s="5">
        <v>1200000</v>
      </c>
      <c r="G14" s="3">
        <v>50</v>
      </c>
      <c r="H14" s="5">
        <f t="shared" si="0"/>
        <v>60000000</v>
      </c>
      <c r="I14" s="2"/>
      <c r="J14" s="20" t="s">
        <v>49</v>
      </c>
      <c r="K14" s="20"/>
    </row>
    <row r="15" spans="1:11" ht="26.1" customHeight="1">
      <c r="A15" s="2"/>
      <c r="B15" s="3" t="s">
        <v>30</v>
      </c>
      <c r="C15" s="3" t="s">
        <v>69</v>
      </c>
      <c r="D15" s="3" t="s">
        <v>40</v>
      </c>
      <c r="E15" s="3">
        <v>65</v>
      </c>
      <c r="F15" s="5">
        <v>980000</v>
      </c>
      <c r="G15" s="3">
        <v>63</v>
      </c>
      <c r="H15" s="5">
        <f t="shared" si="0"/>
        <v>61740000</v>
      </c>
      <c r="I15" s="2"/>
      <c r="J15" s="2"/>
      <c r="K15" s="2"/>
    </row>
    <row r="16" spans="1:11" ht="26.1" customHeight="1">
      <c r="A16" s="2"/>
      <c r="B16" s="3" t="s">
        <v>30</v>
      </c>
      <c r="C16" s="3" t="s">
        <v>69</v>
      </c>
      <c r="D16" s="3" t="s">
        <v>36</v>
      </c>
      <c r="E16" s="3">
        <v>45</v>
      </c>
      <c r="F16" s="5">
        <v>780000</v>
      </c>
      <c r="G16" s="3">
        <v>35</v>
      </c>
      <c r="H16" s="5">
        <f t="shared" si="0"/>
        <v>27300000</v>
      </c>
      <c r="I16" s="2"/>
      <c r="J16" s="22" t="s">
        <v>52</v>
      </c>
      <c r="K16" s="22"/>
    </row>
    <row r="17" spans="1:11" ht="26.1" customHeight="1">
      <c r="A17" s="2"/>
      <c r="B17" s="3" t="s">
        <v>30</v>
      </c>
      <c r="C17" s="3" t="s">
        <v>61</v>
      </c>
      <c r="D17" s="3" t="s">
        <v>53</v>
      </c>
      <c r="E17" s="3">
        <v>78</v>
      </c>
      <c r="F17" s="5">
        <v>890000</v>
      </c>
      <c r="G17" s="3">
        <v>54</v>
      </c>
      <c r="H17" s="5">
        <f t="shared" si="0"/>
        <v>48060000</v>
      </c>
      <c r="I17" s="2"/>
      <c r="J17" s="22"/>
      <c r="K17" s="22"/>
    </row>
    <row r="18" spans="1:11" ht="26.1" customHeight="1">
      <c r="A18" s="2"/>
      <c r="B18" s="3" t="s">
        <v>33</v>
      </c>
      <c r="C18" s="3" t="s">
        <v>61</v>
      </c>
      <c r="D18" s="3" t="s">
        <v>42</v>
      </c>
      <c r="E18" s="3">
        <v>55</v>
      </c>
      <c r="F18" s="5">
        <v>1540000</v>
      </c>
      <c r="G18" s="3">
        <v>42</v>
      </c>
      <c r="H18" s="5">
        <f t="shared" si="0"/>
        <v>64680000</v>
      </c>
      <c r="I18" s="2"/>
      <c r="J18" s="2"/>
      <c r="K18" s="2"/>
    </row>
    <row r="19" spans="1:11" ht="26.1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26.1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26.1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26.1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26.1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26.1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26.1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26.1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26.1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26.1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26.1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26.1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26.1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26.1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26.1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26.1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26.1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26.1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26.1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</sheetData>
  <sortState xmlns:xlrd2="http://schemas.microsoft.com/office/spreadsheetml/2017/richdata2" ref="B4:H18">
    <sortCondition ref="C4:C18" customList="서울,부산,인천,광주,대구,강원"/>
    <sortCondition descending="1" ref="E4:E18"/>
  </sortState>
  <mergeCells count="11">
    <mergeCell ref="J16:K17"/>
    <mergeCell ref="J8:K8"/>
    <mergeCell ref="J9:K9"/>
    <mergeCell ref="J10:K10"/>
    <mergeCell ref="J13:K13"/>
    <mergeCell ref="J14:K14"/>
    <mergeCell ref="B1:H1"/>
    <mergeCell ref="J3:K3"/>
    <mergeCell ref="J5:K5"/>
    <mergeCell ref="J6:K6"/>
    <mergeCell ref="J7:K7"/>
  </mergeCells>
  <phoneticPr fontId="6" type="noConversion"/>
  <pageMargins left="0.7" right="0.7" top="0.75" bottom="0.75" header="0.3" footer="0.3"/>
  <pageSetup paperSize="9"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10</vt:i4>
      </vt:variant>
    </vt:vector>
  </HeadingPairs>
  <TitlesOfParts>
    <vt:vector size="15" baseType="lpstr">
      <vt:lpstr>사용안내</vt:lpstr>
      <vt:lpstr>부분합_실습</vt:lpstr>
      <vt:lpstr>부분합_정답</vt:lpstr>
      <vt:lpstr>정렬_실습</vt:lpstr>
      <vt:lpstr>정렬_정답</vt:lpstr>
      <vt:lpstr>부분합_실습!Print_Area</vt:lpstr>
      <vt:lpstr>부분합_정답!Print_Area</vt:lpstr>
      <vt:lpstr>사용안내!Print_Area</vt:lpstr>
      <vt:lpstr>정렬_실습!Print_Area</vt:lpstr>
      <vt:lpstr>정렬_정답!Print_Area</vt:lpstr>
      <vt:lpstr>부분합_실습!Print_Titles</vt:lpstr>
      <vt:lpstr>부분합_정답!Print_Titles</vt:lpstr>
      <vt:lpstr>사용안내!Print_Titles</vt:lpstr>
      <vt:lpstr>정렬_실습!Print_Titles</vt:lpstr>
      <vt:lpstr>정렬_정답!Print_Titles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dcterms:modified xsi:type="dcterms:W3CDTF">2026-10-07T00:05:55Z</dcterms:modified>
</cp:coreProperties>
</file>