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ompUse2nd\교재\엑셀교재v2\"/>
    </mc:Choice>
  </mc:AlternateContent>
  <xr:revisionPtr revIDLastSave="0" documentId="13_ncr:1_{774809DA-78DA-4C39-96E8-438BE6CB89BC}" xr6:coauthVersionLast="47" xr6:coauthVersionMax="47" xr10:uidLastSave="{00000000-0000-0000-0000-000000000000}"/>
  <bookViews>
    <workbookView xWindow="-24435" yWindow="810" windowWidth="22200" windowHeight="14790" activeTab="1" xr2:uid="{00000000-000D-0000-FFFF-FFFF00000000}"/>
  </bookViews>
  <sheets>
    <sheet name="통계_연습" sheetId="1" r:id="rId1"/>
    <sheet name="통계_정답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2" l="1"/>
  <c r="E37" i="2"/>
  <c r="E36" i="2"/>
  <c r="B36" i="2"/>
  <c r="E35" i="2"/>
  <c r="E34" i="2"/>
  <c r="E33" i="2"/>
  <c r="E32" i="2"/>
  <c r="E31" i="2"/>
  <c r="D24" i="2"/>
  <c r="E17" i="2"/>
  <c r="H14" i="2"/>
  <c r="H13" i="2"/>
  <c r="H12" i="2"/>
  <c r="H11" i="2"/>
  <c r="E11" i="2"/>
  <c r="E10" i="2"/>
  <c r="H9" i="2"/>
  <c r="E9" i="2"/>
  <c r="H8" i="2"/>
  <c r="E8" i="2"/>
  <c r="H7" i="2"/>
  <c r="H6" i="2"/>
  <c r="H5" i="2"/>
  <c r="H4" i="2"/>
  <c r="H3" i="2"/>
  <c r="B36" i="1"/>
</calcChain>
</file>

<file path=xl/sharedStrings.xml><?xml version="1.0" encoding="utf-8"?>
<sst xmlns="http://schemas.openxmlformats.org/spreadsheetml/2006/main" count="146" uniqueCount="44">
  <si>
    <t>서울</t>
  </si>
  <si>
    <t>총점</t>
  </si>
  <si>
    <t>내림차순 등수</t>
  </si>
  <si>
    <t>노란색 셀: 수식을 입력하세요.</t>
  </si>
  <si>
    <t>인천</t>
  </si>
  <si>
    <t>대구</t>
  </si>
  <si>
    <t>부산</t>
  </si>
  <si>
    <t>서울의 개수</t>
  </si>
  <si>
    <t>비어 있지 않은 셀의 개수</t>
  </si>
  <si>
    <t>빈칸의 개수</t>
  </si>
  <si>
    <t>숫자의 개수</t>
  </si>
  <si>
    <t>분산 (VAR.S)</t>
  </si>
  <si>
    <t>표준편차 (STDEV.S)</t>
  </si>
  <si>
    <t>2번째로 큰 값</t>
  </si>
  <si>
    <t>3번째로 작은 값</t>
  </si>
  <si>
    <t>대한민국 2026 KOREA</t>
  </si>
  <si>
    <t>코드</t>
  </si>
  <si>
    <t>수량</t>
  </si>
  <si>
    <t>A</t>
  </si>
  <si>
    <t>B</t>
  </si>
  <si>
    <t>코드가 A이면서 수량이 50 이상인 개수</t>
  </si>
  <si>
    <t>정답 입력</t>
  </si>
  <si>
    <t>조건으로 쓸 기준 수량</t>
  </si>
  <si>
    <t>추가 연습 · 숫자, 글자, 빈칸 구분</t>
  </si>
  <si>
    <t>비교할 데이터</t>
  </si>
  <si>
    <t>데이터 설명</t>
  </si>
  <si>
    <t>수식 입력</t>
  </si>
  <si>
    <t>숫자 100</t>
  </si>
  <si>
    <t>COUNT(B31:B36)</t>
  </si>
  <si>
    <t>100</t>
  </si>
  <si>
    <t>글자 100</t>
  </si>
  <si>
    <t>COUNTA(B31:B36)</t>
  </si>
  <si>
    <t>글자 서울</t>
  </si>
  <si>
    <t>COUNTBLANK(B31:B36)</t>
  </si>
  <si>
    <t>실제 빈 셀</t>
  </si>
  <si>
    <t>250점의 오름차순 등수</t>
  </si>
  <si>
    <t>숫자 0</t>
  </si>
  <si>
    <t>가장 큰 총점</t>
  </si>
  <si>
    <t>빈 문자열 수식</t>
  </si>
  <si>
    <t>총점 350 이상 개수</t>
  </si>
  <si>
    <t>코드 B, 수량 50 이상</t>
  </si>
  <si>
    <t>코드 A, 수량 G27 이상</t>
  </si>
  <si>
    <t>Ctrl+S로 저장하세요. 정답 시트에서 결과와 수식을 비교할 수 있습니다.</t>
  </si>
  <si>
    <t>초록색 셀: 정답 수식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</si>
</sst>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5">
    <font>
      <sz val="11"/>
      <name val="Carlito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5EDF9"/>
      </patternFill>
    </fill>
    <fill>
      <patternFill patternType="solid">
        <fgColor rgb="FFFFF0BE"/>
      </patternFill>
    </fill>
    <fill>
      <patternFill patternType="solid">
        <fgColor rgb="FFE4F3E9"/>
      </patternFill>
    </fill>
  </fills>
  <borders count="2">
    <border>
      <left/>
      <right/>
      <top/>
      <bottom/>
      <diagonal/>
    </border>
    <border>
      <left style="thin">
        <color rgb="FFCDD7E1"/>
      </left>
      <right style="thin">
        <color rgb="FFCDD7E1"/>
      </right>
      <top style="thin">
        <color rgb="FFCDD7E1"/>
      </top>
      <bottom style="thin">
        <color rgb="FFCDD7E1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1" fillId="0" borderId="0" xfId="1" applyFont="1"/>
    <xf numFmtId="0" fontId="1" fillId="0" borderId="1" xfId="1" applyFont="1" applyBorder="1"/>
    <xf numFmtId="0" fontId="2" fillId="2" borderId="0" xfId="1" applyFont="1" applyFill="1"/>
    <xf numFmtId="1" fontId="1" fillId="3" borderId="1" xfId="1" applyNumberFormat="1" applyFont="1" applyFill="1" applyBorder="1"/>
    <xf numFmtId="176" fontId="1" fillId="3" borderId="0" xfId="1" applyNumberFormat="1" applyFont="1" applyFill="1"/>
    <xf numFmtId="1" fontId="1" fillId="3" borderId="0" xfId="1" applyNumberFormat="1" applyFont="1" applyFill="1"/>
    <xf numFmtId="49" fontId="1" fillId="0" borderId="0" xfId="1" applyNumberFormat="1" applyFont="1"/>
    <xf numFmtId="1" fontId="1" fillId="4" borderId="1" xfId="1" applyNumberFormat="1" applyFont="1" applyFill="1" applyBorder="1"/>
    <xf numFmtId="176" fontId="1" fillId="4" borderId="0" xfId="1" applyNumberFormat="1" applyFont="1" applyFill="1"/>
    <xf numFmtId="1" fontId="1" fillId="4" borderId="0" xfId="1" applyNumberFormat="1" applyFont="1" applyFill="1"/>
    <xf numFmtId="0" fontId="1" fillId="0" borderId="0" xfId="1" applyFont="1"/>
    <xf numFmtId="0" fontId="2" fillId="2" borderId="0" xfId="1" applyFont="1" applyFill="1" applyAlignment="1">
      <alignment wrapText="1"/>
    </xf>
    <xf numFmtId="0" fontId="2" fillId="2" borderId="0" xfId="1" applyFont="1" applyFill="1"/>
    <xf numFmtId="0" fontId="2" fillId="2" borderId="0" xfId="1" applyFont="1" applyFill="1" applyAlignment="1">
      <alignment wrapText="1"/>
    </xf>
    <xf numFmtId="0" fontId="2" fillId="2" borderId="0" xfId="1" applyFont="1" applyFill="1" applyAlignment="1">
      <alignment wrapText="1"/>
    </xf>
    <xf numFmtId="0" fontId="2" fillId="2" borderId="0" xfId="1" applyFont="1" applyFill="1" applyAlignment="1">
      <alignment wrapText="1"/>
    </xf>
    <xf numFmtId="0" fontId="1" fillId="0" borderId="0" xfId="1" applyFont="1" applyAlignment="1">
      <alignment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zoomScale="80" zoomScaleNormal="80" workbookViewId="0">
      <selection activeCell="J5" sqref="J5"/>
    </sheetView>
  </sheetViews>
  <sheetFormatPr defaultRowHeight="14.25"/>
  <cols>
    <col min="1" max="1" width="3" customWidth="1"/>
    <col min="2" max="2" width="16" customWidth="1"/>
    <col min="3" max="3" width="13" customWidth="1"/>
    <col min="4" max="5" width="18" customWidth="1"/>
    <col min="6" max="6" width="3" customWidth="1"/>
    <col min="7" max="7" width="27" customWidth="1"/>
    <col min="8" max="8" width="22" customWidth="1"/>
    <col min="9" max="9" width="3" customWidth="1"/>
    <col min="10" max="10" width="42" customWidth="1"/>
  </cols>
  <sheetData>
    <row r="1" spans="1:12" ht="24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44" customHeight="1">
      <c r="A2" s="1"/>
      <c r="B2" s="2">
        <v>100</v>
      </c>
      <c r="C2" s="2" t="s">
        <v>0</v>
      </c>
      <c r="D2" s="2" t="s">
        <v>0</v>
      </c>
      <c r="E2" s="2" t="s">
        <v>0</v>
      </c>
      <c r="F2" s="1"/>
      <c r="G2" s="3" t="s">
        <v>1</v>
      </c>
      <c r="H2" s="14" t="inlineStr">
        <is>
          <t xml:space="preserve">내림차순 등수
(RANK.EQ 함수 사용)</t>
        </is>
      </c>
      <c r="I2" s="1"/>
      <c r="J2" s="17" t="inlineStr">
        <is>
          <t xml:space="preserve">노란색 셀에 지정된 함수로 수식을 입력하세요.</t>
        </is>
      </c>
      <c r="K2" s="1"/>
      <c r="L2" s="1"/>
    </row>
    <row r="3" spans="1:12" ht="24.95" customHeight="1">
      <c r="A3" s="1"/>
      <c r="B3" s="2" t="s">
        <v>4</v>
      </c>
      <c r="C3" s="2"/>
      <c r="D3" s="2" t="s">
        <v>5</v>
      </c>
      <c r="E3" s="2"/>
      <c r="F3" s="1"/>
      <c r="G3" s="2">
        <v>350</v>
      </c>
      <c r="H3" s="4"/>
      <c r="I3" s="1"/>
      <c r="J3" s="1"/>
      <c r="K3" s="1"/>
      <c r="L3" s="1"/>
    </row>
    <row r="4" spans="1:12" ht="24.95" customHeight="1">
      <c r="A4" s="1"/>
      <c r="B4" s="2">
        <v>200</v>
      </c>
      <c r="C4" s="2" t="s">
        <v>0</v>
      </c>
      <c r="D4" s="2" t="s">
        <v>5</v>
      </c>
      <c r="E4" s="2"/>
      <c r="F4" s="1"/>
      <c r="G4" s="2">
        <v>250</v>
      </c>
      <c r="H4" s="4"/>
      <c r="I4" s="1"/>
      <c r="J4" s="1"/>
      <c r="K4" s="1"/>
      <c r="L4" s="1"/>
    </row>
    <row r="5" spans="1:12" ht="24.95" customHeight="1">
      <c r="A5" s="1"/>
      <c r="B5" s="2" t="s">
        <v>4</v>
      </c>
      <c r="C5" s="2"/>
      <c r="D5" s="2" t="s">
        <v>6</v>
      </c>
      <c r="E5" s="2"/>
      <c r="F5" s="1"/>
      <c r="G5" s="2">
        <v>600</v>
      </c>
      <c r="H5" s="4"/>
      <c r="I5" s="1"/>
      <c r="J5" s="1"/>
      <c r="K5" s="1"/>
      <c r="L5" s="1"/>
    </row>
    <row r="6" spans="1:12" ht="24.95" customHeight="1">
      <c r="A6" s="1"/>
      <c r="B6" s="2" t="s">
        <v>0</v>
      </c>
      <c r="C6" s="2">
        <v>300</v>
      </c>
      <c r="D6" s="2" t="s">
        <v>0</v>
      </c>
      <c r="E6" s="2" t="s">
        <v>0</v>
      </c>
      <c r="F6" s="1"/>
      <c r="G6" s="2">
        <v>350</v>
      </c>
      <c r="H6" s="4"/>
      <c r="I6" s="1"/>
      <c r="J6" s="1"/>
      <c r="K6" s="1"/>
      <c r="L6" s="1"/>
    </row>
    <row r="7" spans="1:12" ht="24.95" customHeight="1">
      <c r="A7" s="1"/>
      <c r="B7" s="1"/>
      <c r="C7" s="1"/>
      <c r="D7" s="1"/>
      <c r="E7" s="1"/>
      <c r="F7" s="1"/>
      <c r="G7" s="2">
        <v>350</v>
      </c>
      <c r="H7" s="4"/>
      <c r="I7" s="1"/>
      <c r="J7" s="1"/>
      <c r="K7" s="1"/>
      <c r="L7" s="1"/>
    </row>
    <row r="8" spans="1:12" ht="44" customHeight="1">
      <c r="A8" s="1"/>
      <c r="B8" s="15" t="inlineStr">
        <is>
          <t xml:space="preserve">서울의 개수 (COUNTIF 함수 사용)</t>
        </is>
      </c>
      <c r="C8" s="13" t="s">
        <v>7</v>
      </c>
      <c r="D8" s="13" t="s">
        <v>7</v>
      </c>
      <c r="E8" s="6"/>
      <c r="F8" s="1"/>
      <c r="G8" s="2">
        <v>260</v>
      </c>
      <c r="H8" s="4"/>
      <c r="I8" s="1"/>
      <c r="J8" s="1"/>
      <c r="K8" s="1"/>
      <c r="L8" s="1"/>
    </row>
    <row r="9" spans="1:12" ht="44" customHeight="1">
      <c r="A9" s="1"/>
      <c r="B9" s="15" t="inlineStr">
        <is>
          <t xml:space="preserve">비어 있지 않은 셀의 개수 (COUNTA 함수 사용)</t>
        </is>
      </c>
      <c r="C9" s="13" t="s">
        <v>8</v>
      </c>
      <c r="D9" s="13" t="s">
        <v>8</v>
      </c>
      <c r="E9" s="6"/>
      <c r="F9" s="1"/>
      <c r="G9" s="2">
        <v>550</v>
      </c>
      <c r="H9" s="4"/>
      <c r="I9" s="1"/>
      <c r="J9" s="1"/>
      <c r="K9" s="1"/>
      <c r="L9" s="1"/>
    </row>
    <row r="10" spans="1:12" ht="44" customHeight="1">
      <c r="A10" s="1"/>
      <c r="B10" s="15" t="inlineStr">
        <is>
          <t xml:space="preserve">빈칸의 개수 (COUNTBLANK 함수 사용)</t>
        </is>
      </c>
      <c r="C10" s="13" t="s">
        <v>9</v>
      </c>
      <c r="D10" s="13" t="s">
        <v>9</v>
      </c>
      <c r="E10" s="6"/>
      <c r="F10" s="1"/>
      <c r="G10" s="1"/>
      <c r="H10" s="1"/>
      <c r="I10" s="1"/>
      <c r="J10" s="1"/>
      <c r="K10" s="1"/>
      <c r="L10" s="1"/>
    </row>
    <row r="11" spans="1:12" ht="44" customHeight="1">
      <c r="A11" s="1"/>
      <c r="B11" s="15" t="inlineStr">
        <is>
          <t xml:space="preserve">숫자의 개수 (COUNT 함수 사용)</t>
        </is>
      </c>
      <c r="C11" s="13" t="s">
        <v>10</v>
      </c>
      <c r="D11" s="13" t="s">
        <v>10</v>
      </c>
      <c r="E11" s="6"/>
      <c r="F11" s="1"/>
      <c r="G11" s="14" t="inlineStr">
        <is>
          <t xml:space="preserve">분산 (VAR.S 함수 사용)</t>
        </is>
      </c>
      <c r="H11" s="5"/>
      <c r="I11" s="1"/>
      <c r="J11" s="1"/>
      <c r="K11" s="1"/>
      <c r="L11" s="1"/>
    </row>
    <row r="12" spans="1:12" ht="44" customHeight="1">
      <c r="A12" s="1"/>
      <c r="B12" s="1"/>
      <c r="C12" s="1"/>
      <c r="D12" s="1"/>
      <c r="E12" s="1"/>
      <c r="F12" s="1"/>
      <c r="G12" s="14" t="inlineStr">
        <is>
          <t xml:space="preserve">표준편차 (STDEV.S 함수 사용)</t>
        </is>
      </c>
      <c r="H12" s="5"/>
      <c r="I12" s="1"/>
      <c r="J12" s="1"/>
      <c r="K12" s="1"/>
      <c r="L12" s="1"/>
    </row>
    <row r="13" spans="1:12" ht="44" customHeight="1">
      <c r="A13" s="1"/>
      <c r="B13" s="1"/>
      <c r="C13" s="1"/>
      <c r="D13" s="1"/>
      <c r="E13" s="1"/>
      <c r="F13" s="1"/>
      <c r="G13" s="14" t="inlineStr">
        <is>
          <t xml:space="preserve">2번째로 큰 값
(LARGE 함수 사용)</t>
        </is>
      </c>
      <c r="H13" s="6"/>
      <c r="I13" s="1"/>
      <c r="J13" s="1"/>
      <c r="K13" s="1"/>
      <c r="L13" s="1"/>
    </row>
    <row r="14" spans="1:12" ht="44" customHeight="1">
      <c r="A14" s="1"/>
      <c r="B14" s="1"/>
      <c r="C14" s="1"/>
      <c r="D14" s="1"/>
      <c r="E14" s="1"/>
      <c r="F14" s="1"/>
      <c r="G14" s="14" t="inlineStr">
        <is>
          <t xml:space="preserve">3번째로 작은 값
(SMALL 함수 사용)</t>
        </is>
      </c>
      <c r="H14" s="6"/>
      <c r="I14" s="1"/>
      <c r="J14" s="1"/>
      <c r="K14" s="1"/>
      <c r="L14" s="1"/>
    </row>
    <row r="15" spans="1:12" ht="24.9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44" customHeight="1">
      <c r="A16" s="1"/>
      <c r="B16" s="1"/>
      <c r="C16" s="1"/>
      <c r="D16" s="1"/>
      <c r="E16" s="1"/>
      <c r="F16" s="1"/>
      <c r="G16" s="17" t="inlineStr">
        <is>
          <t xml:space="preserve">B17의 연도 4글자를 숫자로 추출
(VALUE, MID 함수 사용)</t>
        </is>
      </c>
      <c r="H16" s="1"/>
      <c r="I16" s="1"/>
      <c r="J16" s="1"/>
      <c r="K16" s="1"/>
      <c r="L16" s="1"/>
    </row>
    <row r="17" spans="1:12" ht="24.95" customHeight="1">
      <c r="A17" s="1"/>
      <c r="B17" s="13" t="s">
        <v>15</v>
      </c>
      <c r="C17" s="13" t="s">
        <v>15</v>
      </c>
      <c r="D17" s="13" t="s">
        <v>15</v>
      </c>
      <c r="E17" s="6"/>
      <c r="F17" s="1"/>
      <c r="G17" s="3" t="s">
        <v>16</v>
      </c>
      <c r="H17" s="3" t="s">
        <v>17</v>
      </c>
      <c r="I17" s="1"/>
      <c r="J17" s="1"/>
      <c r="K17" s="1"/>
      <c r="L17" s="1"/>
    </row>
    <row r="18" spans="1:12" ht="24.95" customHeight="1">
      <c r="A18" s="1"/>
      <c r="B18" s="1"/>
      <c r="C18" s="1"/>
      <c r="D18" s="1"/>
      <c r="E18" s="1"/>
      <c r="F18" s="1"/>
      <c r="G18" s="2" t="s">
        <v>18</v>
      </c>
      <c r="H18" s="2">
        <v>50</v>
      </c>
      <c r="I18" s="1"/>
      <c r="J18" s="1"/>
      <c r="K18" s="1"/>
      <c r="L18" s="1"/>
    </row>
    <row r="19" spans="1:12" ht="24.95" customHeight="1">
      <c r="A19" s="1"/>
      <c r="B19" s="1"/>
      <c r="C19" s="1"/>
      <c r="D19" s="1"/>
      <c r="E19" s="1"/>
      <c r="F19" s="1"/>
      <c r="G19" s="2" t="s">
        <v>18</v>
      </c>
      <c r="H19" s="2">
        <v>30</v>
      </c>
      <c r="I19" s="1"/>
      <c r="J19" s="1"/>
      <c r="K19" s="1"/>
      <c r="L19" s="1"/>
    </row>
    <row r="20" spans="1:12" ht="24.95" customHeight="1">
      <c r="A20" s="1"/>
      <c r="B20" s="1"/>
      <c r="C20" s="1"/>
      <c r="D20" s="1"/>
      <c r="E20" s="1"/>
      <c r="F20" s="1"/>
      <c r="G20" s="2" t="s">
        <v>19</v>
      </c>
      <c r="H20" s="2">
        <v>60</v>
      </c>
      <c r="I20" s="1"/>
      <c r="J20" s="1"/>
      <c r="K20" s="1"/>
      <c r="L20" s="1"/>
    </row>
    <row r="21" spans="1:12" ht="24.95" customHeight="1">
      <c r="A21" s="1"/>
      <c r="B21" s="1"/>
      <c r="C21" s="1"/>
      <c r="D21" s="1"/>
      <c r="E21" s="1"/>
      <c r="F21" s="1"/>
      <c r="G21" s="2" t="s">
        <v>19</v>
      </c>
      <c r="H21" s="2">
        <v>70</v>
      </c>
      <c r="I21" s="1"/>
      <c r="J21" s="1"/>
      <c r="K21" s="1"/>
      <c r="L21" s="1"/>
    </row>
    <row r="22" spans="1:12" ht="44" customHeight="1">
      <c r="A22" s="1"/>
      <c r="B22" s="16" t="inlineStr">
        <is>
          <t xml:space="preserve">코드 A, 수량 50 이상 개수 (COUNTIFS 함수 사용)</t>
        </is>
      </c>
      <c r="C22" s="12" t="s">
        <v>20</v>
      </c>
      <c r="D22" s="12" t="s">
        <v>20</v>
      </c>
      <c r="E22" s="12" t="s">
        <v>20</v>
      </c>
      <c r="F22" s="1"/>
      <c r="G22" s="2" t="s">
        <v>18</v>
      </c>
      <c r="H22" s="2">
        <v>60</v>
      </c>
      <c r="I22" s="1"/>
      <c r="J22" s="1"/>
      <c r="K22" s="1"/>
      <c r="L22" s="1"/>
    </row>
    <row r="23" spans="1:12" ht="24.95" customHeight="1">
      <c r="A23" s="1"/>
      <c r="B23" s="1"/>
      <c r="C23" s="1"/>
      <c r="D23" s="1"/>
      <c r="E23" s="1"/>
      <c r="F23" s="1"/>
      <c r="G23" s="2" t="s">
        <v>19</v>
      </c>
      <c r="H23" s="2">
        <v>40</v>
      </c>
      <c r="I23" s="1"/>
      <c r="J23" s="1"/>
      <c r="K23" s="1"/>
      <c r="L23" s="1"/>
    </row>
    <row r="24" spans="1:12" ht="24.95" customHeight="1">
      <c r="A24" s="1"/>
      <c r="B24" s="1"/>
      <c r="C24" s="1" t="s">
        <v>21</v>
      </c>
      <c r="D24" s="6"/>
      <c r="E24" s="1"/>
      <c r="F24" s="1"/>
      <c r="G24" s="1"/>
      <c r="H24" s="1"/>
      <c r="I24" s="1"/>
      <c r="J24" s="1"/>
      <c r="K24" s="1"/>
      <c r="L24" s="1"/>
    </row>
    <row r="25" spans="1:12" ht="24.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24.95" customHeight="1">
      <c r="A26" s="1"/>
      <c r="B26" s="1"/>
      <c r="C26" s="1"/>
      <c r="D26" s="1"/>
      <c r="E26" s="1"/>
      <c r="F26" s="1"/>
      <c r="G26" s="3" t="s">
        <v>22</v>
      </c>
      <c r="H26" s="1"/>
      <c r="I26" s="1"/>
      <c r="J26" s="1"/>
      <c r="K26" s="1"/>
      <c r="L26" s="1"/>
    </row>
    <row r="27" spans="1:12" ht="24.95" customHeight="1">
      <c r="A27" s="1"/>
      <c r="B27" s="1"/>
      <c r="C27" s="1"/>
      <c r="D27" s="1"/>
      <c r="E27" s="1"/>
      <c r="F27" s="1"/>
      <c r="G27" s="1">
        <v>50</v>
      </c>
      <c r="H27" s="1"/>
      <c r="I27" s="1"/>
      <c r="J27" s="1"/>
      <c r="K27" s="1"/>
      <c r="L27" s="1"/>
    </row>
    <row r="28" spans="1:12" ht="24.95" customHeight="1">
      <c r="A28" s="1"/>
      <c r="B28" s="13" t="s">
        <v>23</v>
      </c>
      <c r="C28" s="13" t="s">
        <v>23</v>
      </c>
      <c r="D28" s="13" t="s">
        <v>23</v>
      </c>
      <c r="E28" s="13" t="s">
        <v>23</v>
      </c>
      <c r="F28" s="1"/>
      <c r="G28" s="1"/>
      <c r="H28" s="1"/>
      <c r="I28" s="1"/>
      <c r="J28" s="1"/>
      <c r="K28" s="1"/>
      <c r="L28" s="1"/>
    </row>
    <row r="29" spans="1:12" ht="24.9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24.95" customHeight="1">
      <c r="A30" s="1"/>
      <c r="B30" s="3" t="s">
        <v>24</v>
      </c>
      <c r="C30" s="13" t="s">
        <v>25</v>
      </c>
      <c r="D30" s="13" t="s">
        <v>25</v>
      </c>
      <c r="E30" s="3" t="s">
        <v>26</v>
      </c>
      <c r="F30" s="1"/>
      <c r="G30" s="1"/>
      <c r="H30" s="1"/>
      <c r="I30" s="1"/>
      <c r="J30" s="1"/>
      <c r="K30" s="1"/>
      <c r="L30" s="1"/>
    </row>
    <row r="31" spans="1:12" ht="44" customHeight="1">
      <c r="A31" s="1"/>
      <c r="B31" s="1">
        <v>100</v>
      </c>
      <c r="C31" s="11" t="s">
        <v>27</v>
      </c>
      <c r="D31" s="11"/>
      <c r="E31" s="6"/>
      <c r="F31" s="1"/>
      <c r="G31" s="17" t="inlineStr">
        <is>
          <t xml:space="preserve">숫자 개수 (COUNT 함수 사용)</t>
        </is>
      </c>
      <c r="H31" s="1"/>
      <c r="I31" s="1"/>
      <c r="J31" s="1"/>
      <c r="K31" s="1"/>
      <c r="L31" s="1"/>
    </row>
    <row r="32" spans="1:12" ht="44" customHeight="1">
      <c r="A32" s="1"/>
      <c r="B32" s="7" t="s">
        <v>29</v>
      </c>
      <c r="C32" s="11" t="s">
        <v>30</v>
      </c>
      <c r="D32" s="11"/>
      <c r="E32" s="6"/>
      <c r="F32" s="1"/>
      <c r="G32" s="17" t="inlineStr">
        <is>
          <t xml:space="preserve">비어 있지 않은 개수
(COUNTA 함수 사용)</t>
        </is>
      </c>
      <c r="H32" s="1"/>
      <c r="I32" s="1"/>
      <c r="J32" s="1"/>
      <c r="K32" s="1"/>
      <c r="L32" s="1"/>
    </row>
    <row r="33" spans="1:12" ht="44" customHeight="1">
      <c r="A33" s="1"/>
      <c r="B33" s="1" t="s">
        <v>0</v>
      </c>
      <c r="C33" s="11" t="s">
        <v>32</v>
      </c>
      <c r="D33" s="11"/>
      <c r="E33" s="6"/>
      <c r="F33" s="1"/>
      <c r="G33" s="17" t="inlineStr">
        <is>
          <t xml:space="preserve">빈칸 개수 (COUNTBLANK 함수 사용)</t>
        </is>
      </c>
      <c r="H33" s="1"/>
      <c r="I33" s="1"/>
      <c r="J33" s="1"/>
      <c r="K33" s="1"/>
      <c r="L33" s="1"/>
    </row>
    <row r="34" spans="1:12" ht="44" customHeight="1">
      <c r="A34" s="1"/>
      <c r="B34" s="1"/>
      <c r="C34" s="11" t="s">
        <v>34</v>
      </c>
      <c r="D34" s="11"/>
      <c r="E34" s="6"/>
      <c r="F34" s="1"/>
      <c r="G34" s="17" t="inlineStr">
        <is>
          <t xml:space="preserve">250점의 오름차순 등수
(RANK.EQ 함수 사용)</t>
        </is>
      </c>
      <c r="H34" s="1"/>
      <c r="I34" s="1"/>
      <c r="J34" s="1"/>
      <c r="K34" s="1"/>
      <c r="L34" s="1"/>
    </row>
    <row r="35" spans="1:12" ht="44" customHeight="1">
      <c r="A35" s="1"/>
      <c r="B35" s="1">
        <v>0</v>
      </c>
      <c r="C35" s="11" t="s">
        <v>36</v>
      </c>
      <c r="D35" s="11"/>
      <c r="E35" s="6"/>
      <c r="F35" s="1"/>
      <c r="G35" s="17" t="inlineStr">
        <is>
          <t xml:space="preserve">가장 큰 총점 (LARGE 함수 사용)</t>
        </is>
      </c>
      <c r="H35" s="1"/>
      <c r="I35" s="1"/>
      <c r="J35" s="1"/>
      <c r="K35" s="1"/>
      <c r="L35" s="1"/>
    </row>
    <row r="36" spans="1:12" ht="44" customHeight="1">
      <c r="A36" s="1"/>
      <c r="B36" s="1" t="str">
        <f>""</f>
        <v/>
      </c>
      <c r="C36" s="11" t="s">
        <v>38</v>
      </c>
      <c r="D36" s="11"/>
      <c r="E36" s="6"/>
      <c r="F36" s="1"/>
      <c r="G36" s="17" t="inlineStr">
        <is>
          <t xml:space="preserve">총점 350 이상 개수
(COUNTIF 함수 사용)</t>
        </is>
      </c>
      <c r="H36" s="1"/>
      <c r="I36" s="1"/>
      <c r="J36" s="1"/>
      <c r="K36" s="1"/>
      <c r="L36" s="1"/>
    </row>
    <row r="37" spans="1:12" ht="44" customHeight="1">
      <c r="A37" s="1"/>
      <c r="B37" s="1"/>
      <c r="C37" s="1"/>
      <c r="D37" s="1"/>
      <c r="E37" s="6"/>
      <c r="F37" s="1"/>
      <c r="G37" s="17" t="inlineStr">
        <is>
          <t xml:space="preserve">코드 B, 수량 50 이상 개수
(COUNTIFS 함수 사용)</t>
        </is>
      </c>
      <c r="H37" s="1"/>
      <c r="I37" s="1"/>
      <c r="J37" s="1"/>
      <c r="K37" s="1"/>
      <c r="L37" s="1"/>
    </row>
    <row r="38" spans="1:12" ht="44" customHeight="1">
      <c r="A38" s="1"/>
      <c r="B38" s="1"/>
      <c r="C38" s="1"/>
      <c r="D38" s="1"/>
      <c r="E38" s="6"/>
      <c r="F38" s="1"/>
      <c r="G38" s="17" t="inlineStr">
        <is>
          <t xml:space="preserve">코드 A, 수량 G27 이상 개수
(COUNTIFS 함수 사용)</t>
        </is>
      </c>
      <c r="H38" s="1"/>
      <c r="I38" s="1"/>
      <c r="J38" s="1"/>
      <c r="K38" s="1"/>
      <c r="L38" s="1"/>
    </row>
    <row r="39" spans="1:12" ht="24.9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24.9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24.95" customHeight="1">
      <c r="A41" s="1"/>
      <c r="B41" s="1" t="s">
        <v>42</v>
      </c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24.9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</sheetData>
  <mergeCells count="14">
    <mergeCell ref="B8:D8"/>
    <mergeCell ref="B9:D9"/>
    <mergeCell ref="B10:D10"/>
    <mergeCell ref="B11:D11"/>
    <mergeCell ref="B17:D17"/>
    <mergeCell ref="C33:D33"/>
    <mergeCell ref="C34:D34"/>
    <mergeCell ref="C35:D35"/>
    <mergeCell ref="C36:D36"/>
    <mergeCell ref="B22:E22"/>
    <mergeCell ref="B28:E28"/>
    <mergeCell ref="C30:D30"/>
    <mergeCell ref="C31:D31"/>
    <mergeCell ref="C32:D3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2"/>
  <sheetViews>
    <sheetView tabSelected="1" zoomScale="80" zoomScaleNormal="80" workbookViewId="0">
      <selection activeCell="J8" sqref="J8"/>
    </sheetView>
  </sheetViews>
  <sheetFormatPr defaultRowHeight="14.25"/>
  <cols>
    <col min="1" max="1" width="3" customWidth="1"/>
    <col min="2" max="2" width="16" customWidth="1"/>
    <col min="3" max="3" width="13" customWidth="1"/>
    <col min="4" max="5" width="18" customWidth="1"/>
    <col min="6" max="6" width="3" customWidth="1"/>
    <col min="7" max="7" width="27" customWidth="1"/>
    <col min="8" max="8" width="22" customWidth="1"/>
    <col min="9" max="9" width="3" customWidth="1"/>
    <col min="10" max="10" width="42" customWidth="1"/>
  </cols>
  <sheetData>
    <row r="1" spans="1:12" ht="24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44" customHeight="1">
      <c r="A2" s="1"/>
      <c r="B2" s="2">
        <v>100</v>
      </c>
      <c r="C2" s="2" t="s">
        <v>0</v>
      </c>
      <c r="D2" s="2" t="s">
        <v>0</v>
      </c>
      <c r="E2" s="2" t="s">
        <v>0</v>
      </c>
      <c r="F2" s="1"/>
      <c r="G2" s="3" t="s">
        <v>1</v>
      </c>
      <c r="H2" s="14" t="inlineStr">
        <is>
          <t xml:space="preserve">내림차순 등수
(RANK.EQ 함수 사용)</t>
        </is>
      </c>
      <c r="I2" s="1"/>
      <c r="J2" s="17" t="inlineStr">
        <is>
          <t xml:space="preserve">노란색 셀에 지정된 함수로 수식을 입력하세요.</t>
        </is>
      </c>
      <c r="K2" s="1"/>
      <c r="L2" s="1"/>
    </row>
    <row r="3" spans="1:12" ht="24.95" customHeight="1">
      <c r="A3" s="1"/>
      <c r="B3" s="2" t="s">
        <v>4</v>
      </c>
      <c r="C3" s="2"/>
      <c r="D3" s="2" t="s">
        <v>5</v>
      </c>
      <c r="E3" s="2"/>
      <c r="F3" s="1"/>
      <c r="G3" s="2">
        <v>350</v>
      </c>
      <c r="H3" s="8">
        <f t="shared" ref="H3:H9" si="0">_xlfn.RANK.EQ(G3,$G$3:$G$9,0)</f>
        <v>3</v>
      </c>
      <c r="I3" s="1"/>
      <c r="J3" s="1"/>
      <c r="K3" s="1"/>
      <c r="L3" s="1"/>
    </row>
    <row r="4" spans="1:12" ht="24.95" customHeight="1">
      <c r="A4" s="1"/>
      <c r="B4" s="2">
        <v>200</v>
      </c>
      <c r="C4" s="2" t="s">
        <v>0</v>
      </c>
      <c r="D4" s="2" t="s">
        <v>5</v>
      </c>
      <c r="E4" s="2"/>
      <c r="F4" s="1"/>
      <c r="G4" s="2">
        <v>250</v>
      </c>
      <c r="H4" s="8">
        <f t="shared" si="0"/>
        <v>7</v>
      </c>
      <c r="I4" s="1"/>
      <c r="J4" s="1"/>
      <c r="K4" s="1"/>
      <c r="L4" s="1"/>
    </row>
    <row r="5" spans="1:12" ht="24.95" customHeight="1">
      <c r="A5" s="1"/>
      <c r="B5" s="2" t="s">
        <v>4</v>
      </c>
      <c r="C5" s="2"/>
      <c r="D5" s="2" t="s">
        <v>6</v>
      </c>
      <c r="E5" s="2"/>
      <c r="F5" s="1"/>
      <c r="G5" s="2">
        <v>600</v>
      </c>
      <c r="H5" s="8">
        <f t="shared" si="0"/>
        <v>1</v>
      </c>
      <c r="I5" s="1"/>
      <c r="J5" s="1"/>
      <c r="K5" s="1"/>
      <c r="L5" s="1"/>
    </row>
    <row r="6" spans="1:12" ht="24.95" customHeight="1">
      <c r="A6" s="1"/>
      <c r="B6" s="2" t="s">
        <v>0</v>
      </c>
      <c r="C6" s="2">
        <v>300</v>
      </c>
      <c r="D6" s="2" t="s">
        <v>0</v>
      </c>
      <c r="E6" s="2" t="s">
        <v>0</v>
      </c>
      <c r="F6" s="1"/>
      <c r="G6" s="2">
        <v>350</v>
      </c>
      <c r="H6" s="8">
        <f t="shared" si="0"/>
        <v>3</v>
      </c>
      <c r="I6" s="1"/>
      <c r="J6" s="1"/>
      <c r="K6" s="1"/>
      <c r="L6" s="1"/>
    </row>
    <row r="7" spans="1:12" ht="24.95" customHeight="1">
      <c r="A7" s="1"/>
      <c r="B7" s="1"/>
      <c r="C7" s="1"/>
      <c r="D7" s="1"/>
      <c r="E7" s="1"/>
      <c r="F7" s="1"/>
      <c r="G7" s="2">
        <v>350</v>
      </c>
      <c r="H7" s="8">
        <f t="shared" si="0"/>
        <v>3</v>
      </c>
      <c r="I7" s="1"/>
      <c r="J7" s="1"/>
      <c r="K7" s="1"/>
      <c r="L7" s="1"/>
    </row>
    <row r="8" spans="1:12" ht="44" customHeight="1">
      <c r="A8" s="1"/>
      <c r="B8" s="15" t="inlineStr">
        <is>
          <t xml:space="preserve">서울의 개수 (COUNTIF 함수 사용)</t>
        </is>
      </c>
      <c r="C8" s="13" t="s">
        <v>7</v>
      </c>
      <c r="D8" s="13" t="s">
        <v>7</v>
      </c>
      <c r="E8" s="10">
        <f>COUNTIF(B2:E6,"서울")</f>
        <v>7</v>
      </c>
      <c r="F8" s="1"/>
      <c r="G8" s="2">
        <v>260</v>
      </c>
      <c r="H8" s="8">
        <f t="shared" si="0"/>
        <v>6</v>
      </c>
      <c r="I8" s="1"/>
      <c r="J8" s="1"/>
      <c r="K8" s="1"/>
      <c r="L8" s="1"/>
    </row>
    <row r="9" spans="1:12" ht="44" customHeight="1">
      <c r="A9" s="1"/>
      <c r="B9" s="15" t="inlineStr">
        <is>
          <t xml:space="preserve">비어 있지 않은 셀의 개수 (COUNTA 함수 사용)</t>
        </is>
      </c>
      <c r="C9" s="13" t="s">
        <v>8</v>
      </c>
      <c r="D9" s="13" t="s">
        <v>8</v>
      </c>
      <c r="E9" s="10">
        <f>COUNTA(B2:E6)</f>
        <v>15</v>
      </c>
      <c r="F9" s="1"/>
      <c r="G9" s="2">
        <v>550</v>
      </c>
      <c r="H9" s="8">
        <f t="shared" si="0"/>
        <v>2</v>
      </c>
      <c r="I9" s="1"/>
      <c r="J9" s="1"/>
      <c r="K9" s="1"/>
      <c r="L9" s="1"/>
    </row>
    <row r="10" spans="1:12" ht="44" customHeight="1">
      <c r="A10" s="1"/>
      <c r="B10" s="15" t="inlineStr">
        <is>
          <t xml:space="preserve">빈칸의 개수 (COUNTBLANK 함수 사용)</t>
        </is>
      </c>
      <c r="C10" s="13" t="s">
        <v>9</v>
      </c>
      <c r="D10" s="13" t="s">
        <v>9</v>
      </c>
      <c r="E10" s="10">
        <f>COUNTBLANK(B2:E6)</f>
        <v>5</v>
      </c>
      <c r="F10" s="1"/>
      <c r="G10" s="1"/>
      <c r="H10" s="1"/>
      <c r="I10" s="1"/>
      <c r="J10" s="1"/>
      <c r="K10" s="1"/>
      <c r="L10" s="1"/>
    </row>
    <row r="11" spans="1:12" ht="44" customHeight="1">
      <c r="A11" s="1"/>
      <c r="B11" s="15" t="inlineStr">
        <is>
          <t xml:space="preserve">숫자의 개수 (COUNT 함수 사용)</t>
        </is>
      </c>
      <c r="C11" s="13" t="s">
        <v>10</v>
      </c>
      <c r="D11" s="13" t="s">
        <v>10</v>
      </c>
      <c r="E11" s="10">
        <f>COUNT(B2:E6)</f>
        <v>3</v>
      </c>
      <c r="F11" s="1"/>
      <c r="G11" s="14" t="inlineStr">
        <is>
          <t xml:space="preserve">분산 (VAR.S 함수 사용)</t>
        </is>
      </c>
      <c r="H11" s="9">
        <f>_xlfn.VAR.S(G3:G9)</f>
        <v>18490.476190476173</v>
      </c>
      <c r="I11" s="1"/>
      <c r="J11" s="1"/>
      <c r="K11" s="1"/>
      <c r="L11" s="1"/>
    </row>
    <row r="12" spans="1:12" ht="44" customHeight="1">
      <c r="A12" s="1"/>
      <c r="B12" s="1"/>
      <c r="C12" s="1"/>
      <c r="D12" s="1"/>
      <c r="E12" s="1"/>
      <c r="F12" s="1"/>
      <c r="G12" s="14" t="inlineStr">
        <is>
          <t xml:space="preserve">표준편차 (STDEV.S 함수 사용)</t>
        </is>
      </c>
      <c r="H12" s="9">
        <f>_xlfn.STDEV.S(G3:G9)</f>
        <v>135.97969036027465</v>
      </c>
      <c r="I12" s="1"/>
      <c r="J12" s="1"/>
      <c r="K12" s="1"/>
      <c r="L12" s="1"/>
    </row>
    <row r="13" spans="1:12" ht="44" customHeight="1">
      <c r="A13" s="1"/>
      <c r="B13" s="1"/>
      <c r="C13" s="1"/>
      <c r="D13" s="1"/>
      <c r="E13" s="1"/>
      <c r="F13" s="1"/>
      <c r="G13" s="14" t="inlineStr">
        <is>
          <t xml:space="preserve">2번째로 큰 값
(LARGE 함수 사용)</t>
        </is>
      </c>
      <c r="H13" s="10">
        <f>LARGE(G3:G9,2)</f>
        <v>550</v>
      </c>
      <c r="I13" s="1"/>
      <c r="J13" s="1"/>
      <c r="K13" s="1"/>
      <c r="L13" s="1"/>
    </row>
    <row r="14" spans="1:12" ht="44" customHeight="1">
      <c r="A14" s="1"/>
      <c r="B14" s="1"/>
      <c r="C14" s="1"/>
      <c r="D14" s="1"/>
      <c r="E14" s="1"/>
      <c r="F14" s="1"/>
      <c r="G14" s="14" t="inlineStr">
        <is>
          <t xml:space="preserve">3번째로 작은 값
(SMALL 함수 사용)</t>
        </is>
      </c>
      <c r="H14" s="10">
        <f>SMALL(G3:G9,3)</f>
        <v>350</v>
      </c>
      <c r="I14" s="1"/>
      <c r="J14" s="1"/>
      <c r="K14" s="1"/>
      <c r="L14" s="1"/>
    </row>
    <row r="15" spans="1:12" ht="24.9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44" customHeight="1">
      <c r="A16" s="1"/>
      <c r="B16" s="1"/>
      <c r="C16" s="1"/>
      <c r="D16" s="1"/>
      <c r="E16" s="1"/>
      <c r="F16" s="1"/>
      <c r="G16" s="17" t="inlineStr">
        <is>
          <t xml:space="preserve">B17의 연도 4글자를 숫자로 추출
(VALUE, MID 함수 사용)</t>
        </is>
      </c>
      <c r="H16" s="1"/>
      <c r="I16" s="1"/>
      <c r="J16" s="1"/>
      <c r="K16" s="1"/>
      <c r="L16" s="1"/>
    </row>
    <row r="17" spans="1:12" ht="24.95" customHeight="1">
      <c r="A17" s="1"/>
      <c r="B17" s="13" t="s">
        <v>15</v>
      </c>
      <c r="C17" s="13" t="s">
        <v>15</v>
      </c>
      <c r="D17" s="13" t="s">
        <v>15</v>
      </c>
      <c r="E17" s="10">
        <f>VALUE(MID(B17,6,4))</f>
        <v>2026</v>
      </c>
      <c r="F17" s="1"/>
      <c r="G17" s="3" t="s">
        <v>16</v>
      </c>
      <c r="H17" s="3" t="s">
        <v>17</v>
      </c>
      <c r="I17" s="1"/>
      <c r="J17" s="1"/>
      <c r="K17" s="1"/>
      <c r="L17" s="1"/>
    </row>
    <row r="18" spans="1:12" ht="24.95" customHeight="1">
      <c r="A18" s="1"/>
      <c r="B18" s="1"/>
      <c r="C18" s="1"/>
      <c r="D18" s="1"/>
      <c r="E18" s="1"/>
      <c r="F18" s="1"/>
      <c r="G18" s="2" t="s">
        <v>18</v>
      </c>
      <c r="H18" s="2">
        <v>50</v>
      </c>
      <c r="I18" s="1"/>
      <c r="J18" s="1"/>
      <c r="K18" s="1"/>
      <c r="L18" s="1"/>
    </row>
    <row r="19" spans="1:12" ht="24.95" customHeight="1">
      <c r="A19" s="1"/>
      <c r="B19" s="1"/>
      <c r="C19" s="1"/>
      <c r="D19" s="1"/>
      <c r="E19" s="1"/>
      <c r="F19" s="1"/>
      <c r="G19" s="2" t="s">
        <v>18</v>
      </c>
      <c r="H19" s="2">
        <v>30</v>
      </c>
      <c r="I19" s="1"/>
      <c r="J19" s="1"/>
      <c r="K19" s="1"/>
      <c r="L19" s="1"/>
    </row>
    <row r="20" spans="1:12" ht="24.95" customHeight="1">
      <c r="A20" s="1"/>
      <c r="B20" s="1"/>
      <c r="C20" s="1"/>
      <c r="D20" s="1"/>
      <c r="E20" s="1"/>
      <c r="F20" s="1"/>
      <c r="G20" s="2" t="s">
        <v>19</v>
      </c>
      <c r="H20" s="2">
        <v>60</v>
      </c>
      <c r="I20" s="1"/>
      <c r="J20" s="1"/>
      <c r="K20" s="1"/>
      <c r="L20" s="1"/>
    </row>
    <row r="21" spans="1:12" ht="24.95" customHeight="1">
      <c r="A21" s="1"/>
      <c r="B21" s="1"/>
      <c r="C21" s="1"/>
      <c r="D21" s="1"/>
      <c r="E21" s="1"/>
      <c r="F21" s="1"/>
      <c r="G21" s="2" t="s">
        <v>19</v>
      </c>
      <c r="H21" s="2">
        <v>70</v>
      </c>
      <c r="I21" s="1"/>
      <c r="J21" s="1"/>
      <c r="K21" s="1"/>
      <c r="L21" s="1"/>
    </row>
    <row r="22" spans="1:12" ht="44" customHeight="1">
      <c r="A22" s="1"/>
      <c r="B22" s="16" t="inlineStr">
        <is>
          <t xml:space="preserve">코드 A, 수량 50 이상 개수 (COUNTIFS 함수 사용)</t>
        </is>
      </c>
      <c r="C22" s="12" t="s">
        <v>20</v>
      </c>
      <c r="D22" s="12" t="s">
        <v>20</v>
      </c>
      <c r="E22" s="12" t="s">
        <v>20</v>
      </c>
      <c r="F22" s="1"/>
      <c r="G22" s="2" t="s">
        <v>18</v>
      </c>
      <c r="H22" s="2">
        <v>60</v>
      </c>
      <c r="I22" s="1"/>
      <c r="J22" s="1"/>
      <c r="K22" s="1"/>
      <c r="L22" s="1"/>
    </row>
    <row r="23" spans="1:12" ht="24.95" customHeight="1">
      <c r="A23" s="1"/>
      <c r="B23" s="1"/>
      <c r="C23" s="1"/>
      <c r="D23" s="1"/>
      <c r="E23" s="1"/>
      <c r="F23" s="1"/>
      <c r="G23" s="2" t="s">
        <v>19</v>
      </c>
      <c r="H23" s="2">
        <v>40</v>
      </c>
      <c r="I23" s="1"/>
      <c r="J23" s="1"/>
      <c r="K23" s="1"/>
      <c r="L23" s="1"/>
    </row>
    <row r="24" spans="1:12" ht="24.95" customHeight="1">
      <c r="A24" s="1"/>
      <c r="B24" s="1"/>
      <c r="C24" s="1" t="s">
        <v>21</v>
      </c>
      <c r="D24" s="10">
        <f>COUNTIFS(G18:G23,"A",H18:H23,"&gt;=50")</f>
        <v>2</v>
      </c>
      <c r="E24" s="1"/>
      <c r="F24" s="1"/>
      <c r="G24" s="1"/>
      <c r="H24" s="1"/>
      <c r="I24" s="1"/>
      <c r="J24" s="1"/>
      <c r="K24" s="1"/>
      <c r="L24" s="1"/>
    </row>
    <row r="25" spans="1:12" ht="24.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24.95" customHeight="1">
      <c r="A26" s="1"/>
      <c r="B26" s="1"/>
      <c r="C26" s="1"/>
      <c r="D26" s="1"/>
      <c r="E26" s="1"/>
      <c r="F26" s="1"/>
      <c r="G26" s="3" t="s">
        <v>22</v>
      </c>
      <c r="H26" s="1"/>
      <c r="I26" s="1"/>
      <c r="J26" s="1"/>
      <c r="K26" s="1"/>
      <c r="L26" s="1"/>
    </row>
    <row r="27" spans="1:12" ht="24.95" customHeight="1">
      <c r="A27" s="1"/>
      <c r="B27" s="1"/>
      <c r="C27" s="1"/>
      <c r="D27" s="1"/>
      <c r="E27" s="1"/>
      <c r="F27" s="1"/>
      <c r="G27" s="1">
        <v>50</v>
      </c>
      <c r="H27" s="1"/>
      <c r="I27" s="1"/>
      <c r="J27" s="1"/>
      <c r="K27" s="1"/>
      <c r="L27" s="1"/>
    </row>
    <row r="28" spans="1:12" ht="24.95" customHeight="1">
      <c r="A28" s="1"/>
      <c r="B28" s="13" t="s">
        <v>23</v>
      </c>
      <c r="C28" s="13" t="s">
        <v>23</v>
      </c>
      <c r="D28" s="13" t="s">
        <v>23</v>
      </c>
      <c r="E28" s="13" t="s">
        <v>23</v>
      </c>
      <c r="F28" s="1"/>
      <c r="G28" s="1"/>
      <c r="H28" s="1"/>
      <c r="I28" s="1"/>
      <c r="J28" s="1"/>
      <c r="K28" s="1"/>
      <c r="L28" s="1"/>
    </row>
    <row r="29" spans="1:12" ht="24.9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24.95" customHeight="1">
      <c r="A30" s="1"/>
      <c r="B30" s="3" t="s">
        <v>24</v>
      </c>
      <c r="C30" s="13" t="s">
        <v>25</v>
      </c>
      <c r="D30" s="13" t="s">
        <v>25</v>
      </c>
      <c r="E30" s="3" t="s">
        <v>26</v>
      </c>
      <c r="F30" s="1"/>
      <c r="G30" s="1"/>
      <c r="H30" s="1"/>
      <c r="I30" s="1"/>
      <c r="J30" s="1"/>
      <c r="K30" s="1"/>
      <c r="L30" s="1"/>
    </row>
    <row r="31" spans="1:12" ht="44" customHeight="1">
      <c r="A31" s="1"/>
      <c r="B31" s="1">
        <v>100</v>
      </c>
      <c r="C31" s="11" t="s">
        <v>27</v>
      </c>
      <c r="D31" s="11"/>
      <c r="E31" s="10">
        <f>COUNT(B31:B36)</f>
        <v>2</v>
      </c>
      <c r="F31" s="1"/>
      <c r="G31" s="17" t="inlineStr">
        <is>
          <t xml:space="preserve">숫자 개수 (COUNT 함수 사용)</t>
        </is>
      </c>
      <c r="H31" s="1"/>
      <c r="I31" s="1"/>
      <c r="J31" s="1"/>
      <c r="K31" s="1"/>
      <c r="L31" s="1"/>
    </row>
    <row r="32" spans="1:12" ht="44" customHeight="1">
      <c r="A32" s="1"/>
      <c r="B32" s="7" t="s">
        <v>29</v>
      </c>
      <c r="C32" s="11" t="s">
        <v>30</v>
      </c>
      <c r="D32" s="11"/>
      <c r="E32" s="10">
        <f>COUNTA(B31:B36)</f>
        <v>5</v>
      </c>
      <c r="F32" s="1"/>
      <c r="G32" s="17" t="inlineStr">
        <is>
          <t xml:space="preserve">비어 있지 않은 개수
(COUNTA 함수 사용)</t>
        </is>
      </c>
      <c r="H32" s="1"/>
      <c r="I32" s="1"/>
      <c r="J32" s="1"/>
      <c r="K32" s="1"/>
      <c r="L32" s="1"/>
    </row>
    <row r="33" spans="1:12" ht="44" customHeight="1">
      <c r="A33" s="1"/>
      <c r="B33" s="1" t="s">
        <v>0</v>
      </c>
      <c r="C33" s="11" t="s">
        <v>32</v>
      </c>
      <c r="D33" s="11"/>
      <c r="E33" s="10">
        <f>COUNTBLANK(B31:B36)</f>
        <v>2</v>
      </c>
      <c r="F33" s="1"/>
      <c r="G33" s="17" t="inlineStr">
        <is>
          <t xml:space="preserve">빈칸 개수 (COUNTBLANK 함수 사용)</t>
        </is>
      </c>
      <c r="H33" s="1"/>
      <c r="I33" s="1"/>
      <c r="J33" s="1"/>
      <c r="K33" s="1"/>
      <c r="L33" s="1"/>
    </row>
    <row r="34" spans="1:12" ht="44" customHeight="1">
      <c r="A34" s="1"/>
      <c r="B34" s="1"/>
      <c r="C34" s="11" t="s">
        <v>34</v>
      </c>
      <c r="D34" s="11"/>
      <c r="E34" s="10">
        <f>_xlfn.RANK.EQ(G4,$G$3:$G$9,1)</f>
        <v>1</v>
      </c>
      <c r="F34" s="1"/>
      <c r="G34" s="17" t="inlineStr">
        <is>
          <t xml:space="preserve">250점의 오름차순 등수
(RANK.EQ 함수 사용)</t>
        </is>
      </c>
      <c r="H34" s="1"/>
      <c r="I34" s="1"/>
      <c r="J34" s="1"/>
      <c r="K34" s="1"/>
      <c r="L34" s="1"/>
    </row>
    <row r="35" spans="1:12" ht="44" customHeight="1">
      <c r="A35" s="1"/>
      <c r="B35" s="1">
        <v>0</v>
      </c>
      <c r="C35" s="11" t="s">
        <v>36</v>
      </c>
      <c r="D35" s="11"/>
      <c r="E35" s="10">
        <f>LARGE(G3:G9,1)</f>
        <v>600</v>
      </c>
      <c r="F35" s="1"/>
      <c r="G35" s="17" t="inlineStr">
        <is>
          <t xml:space="preserve">가장 큰 총점 (LARGE 함수 사용)</t>
        </is>
      </c>
      <c r="H35" s="1"/>
      <c r="I35" s="1"/>
      <c r="J35" s="1"/>
      <c r="K35" s="1"/>
      <c r="L35" s="1"/>
    </row>
    <row r="36" spans="1:12" ht="44" customHeight="1">
      <c r="A36" s="1"/>
      <c r="B36" s="1" t="str">
        <f>""</f>
        <v/>
      </c>
      <c r="C36" s="11" t="s">
        <v>38</v>
      </c>
      <c r="D36" s="11"/>
      <c r="E36" s="10">
        <f>COUNTIF(G3:G9,"&gt;=350")</f>
        <v>5</v>
      </c>
      <c r="F36" s="1"/>
      <c r="G36" s="17" t="inlineStr">
        <is>
          <t xml:space="preserve">총점 350 이상 개수
(COUNTIF 함수 사용)</t>
        </is>
      </c>
      <c r="H36" s="1"/>
      <c r="I36" s="1"/>
      <c r="J36" s="1"/>
      <c r="K36" s="1"/>
      <c r="L36" s="1"/>
    </row>
    <row r="37" spans="1:12" ht="44" customHeight="1">
      <c r="A37" s="1"/>
      <c r="B37" s="1"/>
      <c r="C37" s="1"/>
      <c r="D37" s="1"/>
      <c r="E37" s="10">
        <f>COUNTIFS(G18:G23,"B",H18:H23,"&gt;=50")</f>
        <v>2</v>
      </c>
      <c r="F37" s="1"/>
      <c r="G37" s="17" t="inlineStr">
        <is>
          <t xml:space="preserve">코드 B, 수량 50 이상 개수
(COUNTIFS 함수 사용)</t>
        </is>
      </c>
      <c r="H37" s="1"/>
      <c r="I37" s="1"/>
      <c r="J37" s="1"/>
      <c r="K37" s="1"/>
      <c r="L37" s="1"/>
    </row>
    <row r="38" spans="1:12" ht="44" customHeight="1">
      <c r="A38" s="1"/>
      <c r="B38" s="1"/>
      <c r="C38" s="1"/>
      <c r="D38" s="1"/>
      <c r="E38" s="10">
        <f>COUNTIFS(G18:G23,"A",H18:H23,"&gt;="&amp;G27)</f>
        <v>2</v>
      </c>
      <c r="F38" s="1"/>
      <c r="G38" s="17" t="inlineStr">
        <is>
          <t xml:space="preserve">코드 A, 수량 G27 이상 개수
(COUNTIFS 함수 사용)</t>
        </is>
      </c>
      <c r="H38" s="1"/>
      <c r="I38" s="1"/>
      <c r="J38" s="1"/>
      <c r="K38" s="1"/>
      <c r="L38" s="1"/>
    </row>
    <row r="39" spans="1:12" ht="24.9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24.9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24.95" customHeight="1">
      <c r="A41" s="1"/>
      <c r="B41" s="1" t="s">
        <v>42</v>
      </c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24.9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</sheetData>
  <mergeCells count="14">
    <mergeCell ref="B8:D8"/>
    <mergeCell ref="B9:D9"/>
    <mergeCell ref="B10:D10"/>
    <mergeCell ref="B11:D11"/>
    <mergeCell ref="B17:D17"/>
    <mergeCell ref="C33:D33"/>
    <mergeCell ref="C34:D34"/>
    <mergeCell ref="C35:D35"/>
    <mergeCell ref="C36:D36"/>
    <mergeCell ref="B22:E22"/>
    <mergeCell ref="B28:E28"/>
    <mergeCell ref="C30:D30"/>
    <mergeCell ref="C31:D31"/>
    <mergeCell ref="C32:D3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통계_연습</vt:lpstr>
      <vt:lpstr>통계_정답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jong park</cp:lastModifiedBy>
  <dcterms:modified xsi:type="dcterms:W3CDTF">2026-10-12T09:05:18Z</dcterms:modified>
</cp:coreProperties>
</file>