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AC954ECB-CF98-490F-A26D-87B8464CFF56}" xr6:coauthVersionLast="47" xr6:coauthVersionMax="47" xr10:uidLastSave="{00000000-0000-0000-0000-000000000000}"/>
  <bookViews>
    <workbookView xWindow="-24825" yWindow="795" windowWidth="22200" windowHeight="14790" xr2:uid="{00000000-000D-0000-FFFF-FFFF00000000}"/>
  </bookViews>
  <sheets>
    <sheet name="텍스트_연습" sheetId="1" r:id="rId1"/>
    <sheet name="날짜시간_연습" sheetId="2" r:id="rId2"/>
    <sheet name="텍스트_정답" sheetId="3" r:id="rId3"/>
    <sheet name="날짜시간_정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0" i="4"/>
  <c r="D19" i="4"/>
  <c r="D18" i="4"/>
  <c r="D17" i="4"/>
  <c r="F13" i="4"/>
  <c r="D13" i="4"/>
  <c r="C13" i="4"/>
  <c r="D10" i="4"/>
  <c r="C3" i="4"/>
  <c r="C2" i="4"/>
  <c r="E19" i="3"/>
  <c r="E18" i="3"/>
  <c r="E17" i="3"/>
  <c r="E16" i="3"/>
  <c r="E10" i="3"/>
  <c r="E9" i="3"/>
  <c r="E8" i="3"/>
  <c r="E7" i="3"/>
  <c r="E6" i="3"/>
  <c r="E5" i="3"/>
  <c r="E4" i="3"/>
  <c r="E3" i="3"/>
  <c r="G8" i="4" l="1"/>
  <c r="G7" i="4"/>
  <c r="G6" i="4"/>
  <c r="G2" i="4"/>
  <c r="C7" i="4"/>
  <c r="G4" i="4"/>
  <c r="G3" i="4"/>
  <c r="C6" i="4" l="1"/>
  <c r="C5" i="4"/>
</calcChain>
</file>

<file path=xl/sharedStrings.xml><?xml version="1.0" encoding="utf-8"?>
<sst xmlns="http://schemas.openxmlformats.org/spreadsheetml/2006/main" count="112" uniqueCount="55">
  <si>
    <t>010페이지 · 텍스트</t>
  </si>
  <si>
    <t>ABCDEFGH</t>
  </si>
  <si>
    <t>LEFT</t>
  </si>
  <si>
    <t>노란색 셀: 수식을 입력하세요.</t>
  </si>
  <si>
    <t>우리나라 대한민국</t>
  </si>
  <si>
    <t>MID</t>
  </si>
  <si>
    <t>A   B   C   D</t>
  </si>
  <si>
    <t>RIGHT</t>
  </si>
  <si>
    <t>abcd</t>
  </si>
  <si>
    <t>UPPER</t>
  </si>
  <si>
    <t>LOWER</t>
  </si>
  <si>
    <t>PROPER</t>
  </si>
  <si>
    <t>TRIM</t>
  </si>
  <si>
    <t>&amp;</t>
  </si>
  <si>
    <t>B5에는 앞뒤·글자 사이 공백이 여러 칸 있습니다.</t>
  </si>
  <si>
    <t>추가 연습</t>
  </si>
  <si>
    <t>서울-2026-015</t>
  </si>
  <si>
    <t>연도 4글자</t>
  </si>
  <si>
    <t>hELLo woRLD</t>
  </si>
  <si>
    <t>끝 3글자</t>
  </si>
  <si>
    <t>각 단어 첫 글자 대문자</t>
  </si>
  <si>
    <t>서울 지점 만들기</t>
  </si>
  <si>
    <t>연습 방법: 노란색 셀에 =로 시작하는 수식을 입력하고 Enter를 누르세요.</t>
  </si>
  <si>
    <t>정답 시트에서 결과를 확인하고 수식 입력줄에서 계산식을 확인하세요.</t>
  </si>
  <si>
    <t>오늘 날짜</t>
  </si>
  <si>
    <t>년</t>
  </si>
  <si>
    <t>오늘 날짜와 현재 시간</t>
  </si>
  <si>
    <t>월</t>
  </si>
  <si>
    <t>TODAY·NOW 결과는 열 때마다 달라집니다.</t>
  </si>
  <si>
    <t>일</t>
  </si>
  <si>
    <t>WORKDAY는 휴일 목록 없이 토·일만 제외합니다.</t>
  </si>
  <si>
    <t>날짜 만들기</t>
  </si>
  <si>
    <t>시간 만들기</t>
  </si>
  <si>
    <t>시</t>
  </si>
  <si>
    <t>요일 번호 (월=1)</t>
  </si>
  <si>
    <t>분</t>
  </si>
  <si>
    <t>초</t>
  </si>
  <si>
    <t>공사 시작일</t>
  </si>
  <si>
    <t>작업 일수</t>
  </si>
  <si>
    <t>완료일</t>
  </si>
  <si>
    <t>시작 날짜</t>
  </si>
  <si>
    <t>종료 날짜</t>
  </si>
  <si>
    <t>기준 날짜</t>
  </si>
  <si>
    <t>3개월 후</t>
  </si>
  <si>
    <t>3개월 후 말일</t>
  </si>
  <si>
    <t>기간 (일)</t>
  </si>
  <si>
    <t>고정 날짜로 추가 연습</t>
  </si>
  <si>
    <t>요일 번호</t>
  </si>
  <si>
    <t>초 추출</t>
  </si>
  <si>
    <t>휴일 포함 완료일</t>
  </si>
  <si>
    <t>제외할 휴일</t>
  </si>
  <si>
    <t>1개월 후</t>
  </si>
  <si>
    <t>날짜 순서 반대로</t>
  </si>
  <si>
    <t>초록색 셀: 계산된 정답</t>
  </si>
  <si>
    <t>ABCDEFGH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</si>
</sst>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-mm\-dd\ hh:mm:ss"/>
    <numFmt numFmtId="178" formatCode="hh:mm:ss"/>
  </numFmts>
  <fonts count="6">
    <font>
      <sz val="11"/>
      <name val="Carlito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5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5EDF9"/>
      </patternFill>
    </fill>
    <fill>
      <patternFill patternType="solid">
        <fgColor rgb="FFFFF0BE"/>
      </patternFill>
    </fill>
    <fill>
      <patternFill patternType="solid">
        <fgColor rgb="FFE4F3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1" applyFont="1"/>
    <xf numFmtId="0" fontId="2" fillId="2" borderId="0" xfId="1" applyFont="1" applyFill="1"/>
    <xf numFmtId="0" fontId="3" fillId="2" borderId="0" xfId="1" applyFont="1" applyFill="1"/>
    <xf numFmtId="0" fontId="1" fillId="3" borderId="0" xfId="1" applyFont="1" applyFill="1"/>
    <xf numFmtId="0" fontId="2" fillId="0" borderId="0" xfId="1" applyFont="1"/>
    <xf numFmtId="176" fontId="1" fillId="0" borderId="0" xfId="1" applyNumberFormat="1" applyFont="1"/>
    <xf numFmtId="176" fontId="1" fillId="3" borderId="0" xfId="1" applyNumberFormat="1" applyFont="1" applyFill="1"/>
    <xf numFmtId="177" fontId="1" fillId="3" borderId="0" xfId="1" applyNumberFormat="1" applyFont="1" applyFill="1"/>
    <xf numFmtId="1" fontId="1" fillId="3" borderId="0" xfId="1" applyNumberFormat="1" applyFont="1" applyFill="1"/>
    <xf numFmtId="178" fontId="1" fillId="3" borderId="0" xfId="1" applyNumberFormat="1" applyFont="1" applyFill="1"/>
    <xf numFmtId="177" fontId="1" fillId="0" borderId="0" xfId="1" applyNumberFormat="1" applyFont="1"/>
    <xf numFmtId="0" fontId="1" fillId="4" borderId="0" xfId="1" applyFont="1" applyFill="1"/>
    <xf numFmtId="176" fontId="1" fillId="4" borderId="0" xfId="1" applyNumberFormat="1" applyFont="1" applyFill="1"/>
    <xf numFmtId="177" fontId="1" fillId="4" borderId="0" xfId="1" applyNumberFormat="1" applyFont="1" applyFill="1"/>
    <xf numFmtId="1" fontId="1" fillId="4" borderId="0" xfId="1" applyNumberFormat="1" applyFont="1" applyFill="1"/>
    <xf numFmtId="178" fontId="1" fillId="4" borderId="0" xfId="1" applyNumberFormat="1" applyFont="1" applyFill="1"/>
    <xf numFmtId="0" fontId="2" fillId="2" borderId="0" xfId="1" applyFont="1" applyFill="1" applyAlignment="1">
      <alignment wrapText="1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E1" zoomScale="85" zoomScaleNormal="85" workbookViewId="0">
      <selection activeCell="N10" sqref="N10"/>
    </sheetView>
  </sheetViews>
  <sheetFormatPr defaultRowHeight="14.25"/>
  <cols>
    <col min="1" max="1" width="3" customWidth="1"/>
    <col min="2" max="2" width="29" customWidth="1"/>
    <col min="3" max="4" width="28" customWidth="1"/>
    <col min="5" max="5" width="34" customWidth="1"/>
    <col min="6" max="7" width="24" customWidth="1"/>
    <col min="8" max="8" width="3" customWidth="1"/>
    <col min="9" max="9" width="43" customWidth="1"/>
  </cols>
  <sheetData>
    <row r="1" spans="1:10" ht="2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7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</row>
    <row r="3" spans="1:10" ht="44" customHeight="1">
      <c r="A3" s="1"/>
      <c r="B3" s="1" t="s">
        <v>1</v>
      </c>
      <c r="C3" s="1"/>
      <c r="D3" s="17" t="inlineStr">
        <is>
          <t xml:space="preserve">LEFT 함수 사용
B3의 왼쪽 3글자</t>
        </is>
      </c>
      <c r="E3" s="4"/>
      <c r="F3" s="1"/>
      <c r="G3" s="1"/>
      <c r="H3" s="1"/>
      <c r="I3" s="18" t="inlineStr">
        <is>
          <t xml:space="preserve">노란색 셀에 지정된 함수·연산자로 수식을 입력하세요.</t>
        </is>
      </c>
      <c r="J3" s="1"/>
    </row>
    <row r="4" spans="1:10" ht="44" customHeight="1">
      <c r="A4" s="1"/>
      <c r="B4" s="1" t="s">
        <v>4</v>
      </c>
      <c r="C4" s="1"/>
      <c r="D4" s="17" t="inlineStr">
        <is>
          <t xml:space="preserve">MID 함수 사용
B3의 4번째부터 2글자</t>
        </is>
      </c>
      <c r="E4" s="4"/>
      <c r="F4" s="1"/>
      <c r="G4" s="1"/>
      <c r="H4" s="1"/>
      <c r="I4" s="1"/>
      <c r="J4" s="1"/>
    </row>
    <row r="5" spans="1:10" ht="44" customHeight="1">
      <c r="A5" s="1"/>
      <c r="B5" s="1" t="s">
        <v>6</v>
      </c>
      <c r="C5" s="1"/>
      <c r="D5" s="17" t="inlineStr">
        <is>
          <t xml:space="preserve">RIGHT 함수 사용
B4의 오른쪽 4글자</t>
        </is>
      </c>
      <c r="E5" s="4"/>
      <c r="F5" s="1"/>
      <c r="G5" s="1"/>
      <c r="H5" s="1"/>
      <c r="I5" s="1"/>
      <c r="J5" s="1"/>
    </row>
    <row r="6" spans="1:10" ht="44" customHeight="1">
      <c r="A6" s="1"/>
      <c r="B6" s="1" t="s">
        <v>8</v>
      </c>
      <c r="C6" s="1"/>
      <c r="D6" s="17" t="inlineStr">
        <is>
          <t xml:space="preserve">UPPER 함수 사용
B6을 대문자로</t>
        </is>
      </c>
      <c r="E6" s="4"/>
      <c r="F6" s="1"/>
      <c r="G6" s="1"/>
      <c r="H6" s="1"/>
      <c r="I6" s="1"/>
      <c r="J6" s="1"/>
    </row>
    <row r="7" spans="1:10" ht="44" customHeight="1">
      <c r="A7" s="1"/>
      <c r="B7" s="1"/>
      <c r="C7" s="1"/>
      <c r="D7" s="17" t="inlineStr">
        <is>
          <t xml:space="preserve">LOWER 함수 사용
B3을 소문자로</t>
        </is>
      </c>
      <c r="E7" s="4"/>
      <c r="F7" s="1"/>
      <c r="G7" s="1"/>
      <c r="H7" s="1"/>
      <c r="I7" s="1"/>
      <c r="J7" s="1"/>
    </row>
    <row r="8" spans="1:10" ht="44" customHeight="1">
      <c r="A8" s="1"/>
      <c r="B8" s="1"/>
      <c r="C8" s="1"/>
      <c r="D8" s="17" t="inlineStr">
        <is>
          <t xml:space="preserve">PROPER 함수 사용
B6의 첫 글자를 대문자로</t>
        </is>
      </c>
      <c r="E8" s="4"/>
      <c r="F8" s="1"/>
      <c r="G8" s="1"/>
      <c r="H8" s="1"/>
      <c r="I8" s="1"/>
      <c r="J8" s="1"/>
    </row>
    <row r="9" spans="1:10" ht="44" customHeight="1">
      <c r="A9" s="1"/>
      <c r="B9" s="1"/>
      <c r="C9" s="1"/>
      <c r="D9" s="17" t="inlineStr">
        <is>
          <t xml:space="preserve">TRIM 함수 사용
B5의 불필요한 공백 제거</t>
        </is>
      </c>
      <c r="E9" s="4"/>
      <c r="F9" s="1"/>
      <c r="G9" s="1"/>
      <c r="H9" s="1"/>
      <c r="I9" s="1"/>
      <c r="J9" s="1"/>
    </row>
    <row r="10" spans="1:10" ht="44" customHeight="1">
      <c r="A10" s="1"/>
      <c r="B10" s="1"/>
      <c r="C10" s="1"/>
      <c r="D10" s="17" t="inlineStr">
        <is>
          <t xml:space="preserve">&amp; 연산자 사용
B4 뒤에 " 만세" 연결</t>
        </is>
      </c>
      <c r="E10" s="4"/>
      <c r="F10" s="1"/>
      <c r="G10" s="1"/>
      <c r="H10" s="1"/>
      <c r="I10" s="1"/>
      <c r="J10" s="1"/>
    </row>
    <row r="11" spans="1:1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7" customHeight="1">
      <c r="A12" s="1"/>
      <c r="B12" s="1" t="s">
        <v>14</v>
      </c>
      <c r="C12" s="1"/>
      <c r="D12" s="1"/>
      <c r="E12" s="1"/>
      <c r="F12" s="1"/>
      <c r="G12" s="1"/>
      <c r="H12" s="1"/>
      <c r="I12" s="1"/>
      <c r="J12" s="1"/>
    </row>
    <row r="13" spans="1:1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" customHeight="1">
      <c r="A15" s="1"/>
      <c r="B15" s="5" t="s">
        <v>15</v>
      </c>
      <c r="C15" s="1"/>
      <c r="D15" s="1"/>
      <c r="E15" s="1"/>
      <c r="F15" s="1"/>
      <c r="G15" s="1"/>
      <c r="H15" s="1"/>
      <c r="I15" s="1"/>
      <c r="J15" s="1"/>
    </row>
    <row r="16" spans="1:10" ht="44" customHeight="1">
      <c r="A16" s="1"/>
      <c r="B16" s="1" t="s">
        <v>16</v>
      </c>
      <c r="C16" s="1"/>
      <c r="D16" s="17" t="inlineStr">
        <is>
          <t xml:space="preserve">MID 함수 사용
B16에서 연도 4글자</t>
        </is>
      </c>
      <c r="E16" s="4"/>
      <c r="F16" s="1"/>
      <c r="G16" s="1"/>
      <c r="H16" s="1"/>
      <c r="I16" s="1"/>
      <c r="J16" s="1"/>
    </row>
    <row r="17" spans="1:10" ht="44" customHeight="1">
      <c r="A17" s="1"/>
      <c r="B17" s="1" t="s">
        <v>18</v>
      </c>
      <c r="C17" s="1"/>
      <c r="D17" s="17" t="inlineStr">
        <is>
          <t xml:space="preserve">RIGHT 함수 사용
B16의 끝 3글자</t>
        </is>
      </c>
      <c r="E17" s="4"/>
      <c r="F17" s="1"/>
      <c r="G17" s="1"/>
      <c r="H17" s="1"/>
      <c r="I17" s="1"/>
      <c r="J17" s="1"/>
    </row>
    <row r="18" spans="1:10" ht="44" customHeight="1">
      <c r="A18" s="1"/>
      <c r="B18" s="1"/>
      <c r="C18" s="1"/>
      <c r="D18" s="17" t="inlineStr">
        <is>
          <t xml:space="preserve">PROPER 함수 사용
B17의 각 단어 첫 글자 대문자</t>
        </is>
      </c>
      <c r="E18" s="4"/>
      <c r="F18" s="1"/>
      <c r="G18" s="1"/>
      <c r="H18" s="1"/>
      <c r="I18" s="1"/>
      <c r="J18" s="1"/>
    </row>
    <row r="19" spans="1:10" ht="44" customHeight="1">
      <c r="A19" s="1"/>
      <c r="B19" s="1"/>
      <c r="C19" s="1"/>
      <c r="D19" s="17" t="inlineStr">
        <is>
          <t xml:space="preserve">LEFT 함수와 &amp; 연산자 사용
B16으로 "서울 지점" 만들기</t>
        </is>
      </c>
      <c r="E19" s="4"/>
      <c r="F19" s="1"/>
      <c r="G19" s="1"/>
      <c r="H19" s="1"/>
      <c r="I19" s="1"/>
      <c r="J19" s="1"/>
    </row>
    <row r="20" spans="1:1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" customHeight="1">
      <c r="A25" s="1"/>
      <c r="B25" s="1" t="s">
        <v>22</v>
      </c>
      <c r="C25" s="1"/>
      <c r="D25" s="1"/>
      <c r="E25" s="1"/>
      <c r="F25" s="1"/>
      <c r="G25" s="1"/>
      <c r="H25" s="1"/>
      <c r="I25" s="1"/>
      <c r="J25" s="1"/>
    </row>
    <row r="26" spans="1:10" ht="27" customHeight="1">
      <c r="A26" s="1"/>
      <c r="B26" s="1" t="s">
        <v>23</v>
      </c>
      <c r="C26" s="1"/>
      <c r="D26" s="1"/>
      <c r="E26" s="1"/>
      <c r="F26" s="1"/>
      <c r="G26" s="1"/>
      <c r="H26" s="1"/>
      <c r="I26" s="1"/>
      <c r="J26" s="1"/>
    </row>
    <row r="27" spans="1:1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="85" zoomScaleNormal="85" workbookViewId="0">
      <selection activeCell="I5" sqref="I5"/>
    </sheetView>
  </sheetViews>
  <sheetFormatPr defaultRowHeight="14.25"/>
  <cols>
    <col min="1" max="1" width="3" customWidth="1"/>
    <col min="2" max="2" width="29" customWidth="1"/>
    <col min="3" max="3" width="28" customWidth="1"/>
    <col min="4" max="4" width="20" customWidth="1"/>
    <col min="5" max="5" width="30" customWidth="1"/>
    <col min="6" max="7" width="24" customWidth="1"/>
    <col min="8" max="8" width="3" customWidth="1"/>
    <col min="9" max="9" width="43" customWidth="1"/>
  </cols>
  <sheetData>
    <row r="1" spans="1:10" ht="2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4" customHeight="1">
      <c r="A2" s="1"/>
      <c r="B2" s="17" t="inlineStr">
        <is>
          <t xml:space="preserve">오늘 날짜 (TODAY 함수 사용)</t>
        </is>
      </c>
      <c r="C2" s="7"/>
      <c r="D2" s="1"/>
      <c r="E2" s="1"/>
      <c r="F2" s="17" t="inlineStr">
        <is>
          <t xml:space="preserve">년 (YEAR 함수 사용)</t>
        </is>
      </c>
      <c r="G2" s="9"/>
      <c r="H2" s="1"/>
      <c r="I2" s="18" t="inlineStr">
        <is>
          <t xml:space="preserve">노란색 셀에 지정된 함수로 수식을 입력하세요.</t>
        </is>
      </c>
      <c r="J2" s="1"/>
    </row>
    <row r="3" spans="1:10" ht="44" customHeight="1">
      <c r="A3" s="1"/>
      <c r="B3" s="17" t="inlineStr">
        <is>
          <t xml:space="preserve">현재 날짜·시간 (NOW 함수 사용)</t>
        </is>
      </c>
      <c r="C3" s="8"/>
      <c r="D3" s="1"/>
      <c r="E3" s="1"/>
      <c r="F3" s="17" t="inlineStr">
        <is>
          <t xml:space="preserve">월 (MONTH 함수 사용)</t>
        </is>
      </c>
      <c r="G3" s="9"/>
      <c r="H3" s="1"/>
      <c r="I3" s="1" t="s">
        <v>28</v>
      </c>
      <c r="J3" s="1"/>
    </row>
    <row r="4" spans="1:10" ht="44" customHeight="1">
      <c r="A4" s="1"/>
      <c r="B4" s="1"/>
      <c r="C4" s="1"/>
      <c r="D4" s="1"/>
      <c r="E4" s="1"/>
      <c r="F4" s="17" t="inlineStr">
        <is>
          <t xml:space="preserve">일 (DAY 함수 사용)</t>
        </is>
      </c>
      <c r="G4" s="9"/>
      <c r="H4" s="1"/>
      <c r="I4" s="1" t="s">
        <v>30</v>
      </c>
      <c r="J4" s="1"/>
    </row>
    <row r="5" spans="1:10" ht="44" customHeight="1">
      <c r="A5" s="1"/>
      <c r="B5" s="17" t="inlineStr">
        <is>
          <t xml:space="preserve">날짜 만들기 (DATE 함수 사용)</t>
        </is>
      </c>
      <c r="C5" s="7"/>
      <c r="D5" s="1"/>
      <c r="E5" s="1"/>
      <c r="F5" s="1"/>
      <c r="G5" s="1"/>
      <c r="H5" s="1"/>
      <c r="I5" s="1"/>
      <c r="J5" s="1"/>
    </row>
    <row r="6" spans="1:10" ht="44" customHeight="1">
      <c r="A6" s="1"/>
      <c r="B6" s="17" t="inlineStr">
        <is>
          <t xml:space="preserve">시간 만들기 (TIME 함수 사용)</t>
        </is>
      </c>
      <c r="C6" s="10"/>
      <c r="D6" s="1"/>
      <c r="E6" s="1"/>
      <c r="F6" s="17" t="inlineStr">
        <is>
          <t xml:space="preserve">시 (HOUR 함수 사용)</t>
        </is>
      </c>
      <c r="G6" s="9"/>
      <c r="H6" s="1"/>
      <c r="I6" s="1"/>
      <c r="J6" s="1"/>
    </row>
    <row r="7" spans="1:10" ht="44" customHeight="1">
      <c r="A7" s="1"/>
      <c r="B7" s="17" t="inlineStr">
        <is>
          <t xml:space="preserve">요일 번호: 월=1
(WEEKDAY 함수 사용)</t>
        </is>
      </c>
      <c r="C7" s="9"/>
      <c r="D7" s="1"/>
      <c r="E7" s="1"/>
      <c r="F7" s="17" t="inlineStr">
        <is>
          <t xml:space="preserve">분 (MINUTE 함수 사용)</t>
        </is>
      </c>
      <c r="G7" s="9"/>
      <c r="H7" s="1"/>
      <c r="I7" s="1"/>
      <c r="J7" s="1"/>
    </row>
    <row r="8" spans="1:10" ht="44" customHeight="1">
      <c r="A8" s="1"/>
      <c r="B8" s="1"/>
      <c r="C8" s="1"/>
      <c r="D8" s="1"/>
      <c r="E8" s="1"/>
      <c r="F8" s="17" t="inlineStr">
        <is>
          <t xml:space="preserve">초 (SECOND 함수 사용)</t>
        </is>
      </c>
      <c r="G8" s="9"/>
      <c r="H8" s="1"/>
      <c r="I8" s="1"/>
      <c r="J8" s="1"/>
    </row>
    <row r="9" spans="1:10" ht="44" customHeight="1">
      <c r="A9" s="1"/>
      <c r="B9" s="2" t="s">
        <v>37</v>
      </c>
      <c r="C9" s="2" t="s">
        <v>38</v>
      </c>
      <c r="D9" s="17" t="inlineStr">
        <is>
          <t xml:space="preserve">완료일
(WORKDAY 함수 사용)</t>
        </is>
      </c>
      <c r="E9" s="1"/>
      <c r="F9" s="1"/>
      <c r="G9" s="1"/>
      <c r="H9" s="1"/>
      <c r="I9" s="1"/>
      <c r="J9" s="1"/>
    </row>
    <row r="10" spans="1:10" ht="27" customHeight="1">
      <c r="A10" s="1"/>
      <c r="B10" s="6">
        <v>46147</v>
      </c>
      <c r="C10" s="1">
        <v>15</v>
      </c>
      <c r="D10" s="7"/>
      <c r="E10" s="1"/>
      <c r="F10" s="2" t="s">
        <v>40</v>
      </c>
      <c r="G10" s="2" t="s">
        <v>41</v>
      </c>
      <c r="H10" s="1"/>
      <c r="I10" s="1"/>
      <c r="J10" s="1"/>
    </row>
    <row r="11" spans="1:10" ht="27" customHeight="1">
      <c r="A11" s="1"/>
      <c r="B11" s="1"/>
      <c r="C11" s="1"/>
      <c r="D11" s="1"/>
      <c r="E11" s="1"/>
      <c r="F11" s="6">
        <v>46086</v>
      </c>
      <c r="G11" s="6">
        <v>46211</v>
      </c>
      <c r="H11" s="1"/>
      <c r="I11" s="1"/>
      <c r="J11" s="1"/>
    </row>
    <row r="12" spans="1:10" ht="44" customHeight="1">
      <c r="A12" s="1"/>
      <c r="B12" s="2" t="s">
        <v>42</v>
      </c>
      <c r="C12" s="17" t="inlineStr">
        <is>
          <t xml:space="preserve">3개월 후
(EDATE 함수 사용)</t>
        </is>
      </c>
      <c r="D12" s="17" t="inlineStr">
        <is>
          <t xml:space="preserve">3개월 후 말일
(EOMONTH 함수 사용)</t>
        </is>
      </c>
      <c r="E12" s="1"/>
      <c r="F12" s="17" t="inlineStr">
        <is>
          <t xml:space="preserve">기간: 종료일−시작일
(DAYS 함수 사용)</t>
        </is>
      </c>
      <c r="G12" s="1"/>
      <c r="H12" s="1"/>
      <c r="I12" s="1"/>
      <c r="J12" s="1"/>
    </row>
    <row r="13" spans="1:10" ht="27" customHeight="1">
      <c r="A13" s="1"/>
      <c r="B13" s="6">
        <v>46145</v>
      </c>
      <c r="C13" s="7"/>
      <c r="D13" s="7"/>
      <c r="E13" s="1"/>
      <c r="F13" s="9"/>
      <c r="G13" s="1"/>
      <c r="H13" s="1"/>
      <c r="I13" s="1"/>
      <c r="J13" s="1"/>
    </row>
    <row r="14" spans="1:1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" customHeight="1">
      <c r="A16" s="1"/>
      <c r="B16" s="2" t="s">
        <v>46</v>
      </c>
      <c r="C16" s="1"/>
      <c r="D16" s="1"/>
      <c r="E16" s="1"/>
      <c r="F16" s="1"/>
      <c r="G16" s="1"/>
      <c r="H16" s="1"/>
      <c r="I16" s="1"/>
      <c r="J16" s="1"/>
    </row>
    <row r="17" spans="1:10" ht="44" customHeight="1">
      <c r="A17" s="1"/>
      <c r="B17" s="6">
        <v>45144</v>
      </c>
      <c r="C17" s="17" t="inlineStr">
        <is>
          <t xml:space="preserve">요일 번호: 월=1
(WEEKDAY 함수 사용)</t>
        </is>
      </c>
      <c r="D17" s="9"/>
      <c r="E17" s="1"/>
      <c r="F17" s="1"/>
      <c r="G17" s="1"/>
      <c r="H17" s="1"/>
      <c r="I17" s="1"/>
      <c r="J17" s="1"/>
    </row>
    <row r="18" spans="1:10" ht="44" customHeight="1">
      <c r="A18" s="1"/>
      <c r="B18" s="11">
        <v>45144.611990740741</v>
      </c>
      <c r="C18" s="17" t="inlineStr">
        <is>
          <t xml:space="preserve">초 추출
(SECOND 함수 사용)</t>
        </is>
      </c>
      <c r="D18" s="9"/>
      <c r="E18" s="1"/>
      <c r="F18" s="1"/>
      <c r="G18" s="1"/>
      <c r="H18" s="1"/>
      <c r="I18" s="1"/>
      <c r="J18" s="1"/>
    </row>
    <row r="19" spans="1:10" ht="44" customHeight="1">
      <c r="A19" s="1"/>
      <c r="B19" s="1"/>
      <c r="C19" s="17" t="inlineStr">
        <is>
          <t xml:space="preserve">휴일 포함 완료일
(WORKDAY 함수 사용)</t>
        </is>
      </c>
      <c r="D19" s="7"/>
      <c r="E19" s="1"/>
      <c r="F19" s="1"/>
      <c r="G19" s="1"/>
      <c r="H19" s="1"/>
      <c r="I19" s="1"/>
      <c r="J19" s="1"/>
    </row>
    <row r="20" spans="1:10" ht="44" customHeight="1">
      <c r="A20" s="1"/>
      <c r="B20" s="1" t="s">
        <v>50</v>
      </c>
      <c r="C20" s="17" t="inlineStr">
        <is>
          <t xml:space="preserve">B22의 1개월 후
(EDATE 함수 사용)</t>
        </is>
      </c>
      <c r="D20" s="7"/>
      <c r="E20" s="1"/>
      <c r="F20" s="1"/>
      <c r="G20" s="1"/>
      <c r="H20" s="1"/>
      <c r="I20" s="1"/>
      <c r="J20" s="1"/>
    </row>
    <row r="21" spans="1:10" ht="44" customHeight="1">
      <c r="A21" s="1"/>
      <c r="B21" s="6">
        <v>46167</v>
      </c>
      <c r="C21" s="17" t="inlineStr">
        <is>
          <t xml:space="preserve">시작일−종료일
(DAYS 함수 사용)</t>
        </is>
      </c>
      <c r="D21" s="9"/>
      <c r="E21" s="1"/>
      <c r="F21" s="1"/>
      <c r="G21" s="1"/>
      <c r="H21" s="1"/>
      <c r="I21" s="1"/>
      <c r="J21" s="1"/>
    </row>
    <row r="22" spans="1:10" ht="27" customHeight="1">
      <c r="A22" s="1"/>
      <c r="B22" s="6">
        <v>46053</v>
      </c>
      <c r="C22" s="1"/>
      <c r="D22" s="1"/>
      <c r="E22" s="1"/>
      <c r="F22" s="1"/>
      <c r="G22" s="1"/>
      <c r="H22" s="1"/>
      <c r="I22" s="1"/>
      <c r="J22" s="1"/>
    </row>
    <row r="23" spans="1:1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" customHeight="1">
      <c r="A25" s="1"/>
      <c r="B25" s="1" t="s">
        <v>22</v>
      </c>
      <c r="C25" s="1"/>
      <c r="D25" s="1"/>
      <c r="E25" s="1"/>
      <c r="F25" s="1"/>
      <c r="G25" s="1"/>
      <c r="H25" s="1"/>
      <c r="I25" s="1"/>
      <c r="J25" s="1"/>
    </row>
    <row r="26" spans="1:10" ht="27" customHeight="1">
      <c r="A26" s="1"/>
      <c r="B26" s="1" t="s">
        <v>23</v>
      </c>
      <c r="C26" s="1"/>
      <c r="D26" s="1"/>
      <c r="E26" s="1"/>
      <c r="F26" s="1"/>
      <c r="G26" s="1"/>
      <c r="H26" s="1"/>
      <c r="I26" s="1"/>
      <c r="J26" s="1"/>
    </row>
    <row r="27" spans="1:1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opLeftCell="E1" zoomScale="90" zoomScaleNormal="90" workbookViewId="0">
      <selection activeCell="I8" sqref="I8"/>
    </sheetView>
  </sheetViews>
  <sheetFormatPr defaultRowHeight="14.25"/>
  <cols>
    <col min="1" max="1" width="3" customWidth="1"/>
    <col min="2" max="2" width="29" customWidth="1"/>
    <col min="3" max="4" width="28" customWidth="1"/>
    <col min="5" max="5" width="34" customWidth="1"/>
    <col min="6" max="7" width="24" customWidth="1"/>
    <col min="8" max="8" width="3" customWidth="1"/>
    <col min="9" max="9" width="43" customWidth="1"/>
  </cols>
  <sheetData>
    <row r="1" spans="1:10" ht="2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7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</row>
    <row r="3" spans="1:10" ht="44" customHeight="1">
      <c r="A3" s="1"/>
      <c r="B3" s="1" t="s">
        <v>54</v>
      </c>
      <c r="C3" s="1"/>
      <c r="D3" s="17" t="inlineStr">
        <is>
          <t xml:space="preserve">LEFT 함수 사용
B3의 왼쪽 3글자</t>
        </is>
      </c>
      <c r="E3" s="12" t="str">
        <f>LEFT(B3,3)</f>
        <v>ABC</v>
      </c>
      <c r="F3" s="1"/>
      <c r="G3" s="1"/>
      <c r="H3" s="1"/>
      <c r="I3" s="18" t="inlineStr">
        <is>
          <t xml:space="preserve">노란색 셀에 지정된 함수·연산자로 수식을 입력하세요.</t>
        </is>
      </c>
      <c r="J3" s="1"/>
    </row>
    <row r="4" spans="1:10" ht="44" customHeight="1">
      <c r="A4" s="1"/>
      <c r="B4" s="1" t="s">
        <v>4</v>
      </c>
      <c r="C4" s="1"/>
      <c r="D4" s="17" t="inlineStr">
        <is>
          <t xml:space="preserve">MID 함수 사용
B3의 4번째부터 2글자</t>
        </is>
      </c>
      <c r="E4" s="12" t="str">
        <f>MID(B3,4,2)</f>
        <v>DE</v>
      </c>
      <c r="F4" s="1"/>
      <c r="G4" s="1"/>
      <c r="H4" s="1"/>
      <c r="I4" s="1"/>
      <c r="J4" s="1"/>
    </row>
    <row r="5" spans="1:10" ht="44" customHeight="1">
      <c r="A5" s="1"/>
      <c r="B5" s="1" t="s">
        <v>6</v>
      </c>
      <c r="C5" s="1"/>
      <c r="D5" s="17" t="inlineStr">
        <is>
          <t xml:space="preserve">RIGHT 함수 사용
B4의 오른쪽 4글자</t>
        </is>
      </c>
      <c r="E5" s="12" t="str">
        <f>RIGHT(B4,4)</f>
        <v>대한민국</v>
      </c>
      <c r="F5" s="1"/>
      <c r="G5" s="1"/>
      <c r="H5" s="1"/>
      <c r="I5" s="1"/>
      <c r="J5" s="1"/>
    </row>
    <row r="6" spans="1:10" ht="44" customHeight="1">
      <c r="A6" s="1"/>
      <c r="B6" s="1" t="s">
        <v>8</v>
      </c>
      <c r="C6" s="1"/>
      <c r="D6" s="17" t="inlineStr">
        <is>
          <t xml:space="preserve">UPPER 함수 사용
B6을 대문자로</t>
        </is>
      </c>
      <c r="E6" s="12" t="str">
        <f>UPPER(B6)</f>
        <v>ABCD</v>
      </c>
      <c r="F6" s="1"/>
      <c r="G6" s="1"/>
      <c r="H6" s="1"/>
      <c r="I6" s="1"/>
      <c r="J6" s="1"/>
    </row>
    <row r="7" spans="1:10" ht="44" customHeight="1">
      <c r="A7" s="1"/>
      <c r="B7" s="1"/>
      <c r="C7" s="1"/>
      <c r="D7" s="17" t="inlineStr">
        <is>
          <t xml:space="preserve">LOWER 함수 사용
B3을 소문자로</t>
        </is>
      </c>
      <c r="E7" s="12" t="str">
        <f>LOWER(B3)</f>
        <v>abcdefgh</v>
      </c>
      <c r="F7" s="1"/>
      <c r="G7" s="1"/>
      <c r="H7" s="1"/>
      <c r="I7" s="1"/>
      <c r="J7" s="1"/>
    </row>
    <row r="8" spans="1:10" ht="44" customHeight="1">
      <c r="A8" s="1"/>
      <c r="B8" s="1"/>
      <c r="C8" s="1"/>
      <c r="D8" s="17" t="inlineStr">
        <is>
          <t xml:space="preserve">PROPER 함수 사용
B6의 첫 글자를 대문자로</t>
        </is>
      </c>
      <c r="E8" s="12" t="str">
        <f>PROPER(B6)</f>
        <v>Abcd</v>
      </c>
      <c r="F8" s="1"/>
      <c r="G8" s="1"/>
      <c r="H8" s="1"/>
      <c r="I8" s="1"/>
      <c r="J8" s="1"/>
    </row>
    <row r="9" spans="1:10" ht="44" customHeight="1">
      <c r="A9" s="1"/>
      <c r="B9" s="1"/>
      <c r="C9" s="1"/>
      <c r="D9" s="17" t="inlineStr">
        <is>
          <t xml:space="preserve">TRIM 함수 사용
B5의 불필요한 공백 제거</t>
        </is>
      </c>
      <c r="E9" s="12" t="str">
        <f>TRIM(B5)</f>
        <v>A B C D</v>
      </c>
      <c r="F9" s="1"/>
      <c r="G9" s="1"/>
      <c r="H9" s="1"/>
      <c r="I9" s="1"/>
      <c r="J9" s="1"/>
    </row>
    <row r="10" spans="1:10" ht="44" customHeight="1">
      <c r="A10" s="1"/>
      <c r="B10" s="1"/>
      <c r="C10" s="1"/>
      <c r="D10" s="17" t="inlineStr">
        <is>
          <t xml:space="preserve">&amp; 연산자 사용
B4 뒤에 " 만세" 연결</t>
        </is>
      </c>
      <c r="E10" s="12" t="str">
        <f>B4&amp;" 만세"</f>
        <v>우리나라 대한민국 만세</v>
      </c>
      <c r="F10" s="1"/>
      <c r="G10" s="1"/>
      <c r="H10" s="1"/>
      <c r="I10" s="1"/>
      <c r="J10" s="1"/>
    </row>
    <row r="11" spans="1:1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27" customHeight="1">
      <c r="A12" s="1"/>
      <c r="B12" s="1" t="s">
        <v>14</v>
      </c>
      <c r="C12" s="1"/>
      <c r="D12" s="1"/>
      <c r="E12" s="1"/>
      <c r="F12" s="1"/>
      <c r="G12" s="1"/>
      <c r="H12" s="1"/>
      <c r="I12" s="1"/>
      <c r="J12" s="1"/>
    </row>
    <row r="13" spans="1:1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" customHeight="1">
      <c r="A15" s="1"/>
      <c r="B15" s="5" t="s">
        <v>15</v>
      </c>
      <c r="C15" s="1"/>
      <c r="D15" s="1"/>
      <c r="E15" s="1"/>
      <c r="F15" s="1"/>
      <c r="G15" s="1"/>
      <c r="H15" s="1"/>
      <c r="I15" s="1"/>
      <c r="J15" s="1"/>
    </row>
    <row r="16" spans="1:10" ht="44" customHeight="1">
      <c r="A16" s="1"/>
      <c r="B16" s="1" t="s">
        <v>16</v>
      </c>
      <c r="C16" s="1"/>
      <c r="D16" s="17" t="inlineStr">
        <is>
          <t xml:space="preserve">MID 함수 사용
B16에서 연도 4글자</t>
        </is>
      </c>
      <c r="E16" s="12" t="str">
        <f>MID(B16,4,4)</f>
        <v>2026</v>
      </c>
      <c r="F16" s="1"/>
      <c r="G16" s="1"/>
      <c r="H16" s="1"/>
      <c r="I16" s="1"/>
      <c r="J16" s="1"/>
    </row>
    <row r="17" spans="1:10" ht="44" customHeight="1">
      <c r="A17" s="1"/>
      <c r="B17" s="1" t="s">
        <v>18</v>
      </c>
      <c r="C17" s="1"/>
      <c r="D17" s="17" t="inlineStr">
        <is>
          <t xml:space="preserve">RIGHT 함수 사용
B16의 끝 3글자</t>
        </is>
      </c>
      <c r="E17" s="12" t="str">
        <f>RIGHT(B16,3)</f>
        <v>015</v>
      </c>
      <c r="F17" s="1"/>
      <c r="G17" s="1"/>
      <c r="H17" s="1"/>
      <c r="I17" s="1"/>
      <c r="J17" s="1"/>
    </row>
    <row r="18" spans="1:10" ht="44" customHeight="1">
      <c r="A18" s="1"/>
      <c r="B18" s="1"/>
      <c r="C18" s="1"/>
      <c r="D18" s="17" t="inlineStr">
        <is>
          <t xml:space="preserve">PROPER 함수 사용
B17의 각 단어 첫 글자 대문자</t>
        </is>
      </c>
      <c r="E18" s="12" t="str">
        <f>PROPER(B17)</f>
        <v>Hello World</v>
      </c>
      <c r="F18" s="1"/>
      <c r="G18" s="1"/>
      <c r="H18" s="1"/>
      <c r="I18" s="1"/>
      <c r="J18" s="1"/>
    </row>
    <row r="19" spans="1:10" ht="44" customHeight="1">
      <c r="A19" s="1"/>
      <c r="B19" s="1"/>
      <c r="C19" s="1"/>
      <c r="D19" s="17" t="inlineStr">
        <is>
          <t xml:space="preserve">LEFT 함수와 &amp; 연산자 사용
B16으로 "서울 지점" 만들기</t>
        </is>
      </c>
      <c r="E19" s="12" t="str">
        <f>LEFT(B16,2)&amp;" 지점"</f>
        <v>서울 지점</v>
      </c>
      <c r="F19" s="1"/>
      <c r="G19" s="1"/>
      <c r="H19" s="1"/>
      <c r="I19" s="1"/>
      <c r="J19" s="1"/>
    </row>
    <row r="20" spans="1:1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" customHeight="1">
      <c r="A25" s="1"/>
      <c r="B25" s="1" t="s">
        <v>22</v>
      </c>
      <c r="C25" s="1"/>
      <c r="D25" s="1"/>
      <c r="E25" s="1"/>
      <c r="F25" s="1"/>
      <c r="G25" s="1"/>
      <c r="H25" s="1"/>
      <c r="I25" s="1"/>
      <c r="J25" s="1"/>
    </row>
    <row r="26" spans="1:10" ht="27" customHeight="1">
      <c r="A26" s="1"/>
      <c r="B26" s="1" t="s">
        <v>23</v>
      </c>
      <c r="C26" s="1"/>
      <c r="D26" s="1"/>
      <c r="E26" s="1"/>
      <c r="F26" s="1"/>
      <c r="G26" s="1"/>
      <c r="H26" s="1"/>
      <c r="I26" s="1"/>
      <c r="J26" s="1"/>
    </row>
    <row r="27" spans="1:1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zoomScale="85" zoomScaleNormal="85" workbookViewId="0">
      <selection activeCell="I5" sqref="I5"/>
    </sheetView>
  </sheetViews>
  <sheetFormatPr defaultRowHeight="14.25"/>
  <cols>
    <col min="1" max="1" width="3" customWidth="1"/>
    <col min="2" max="2" width="29" customWidth="1"/>
    <col min="3" max="3" width="28" customWidth="1"/>
    <col min="4" max="4" width="20" customWidth="1"/>
    <col min="5" max="5" width="30" customWidth="1"/>
    <col min="6" max="7" width="24" customWidth="1"/>
    <col min="8" max="8" width="3" customWidth="1"/>
    <col min="9" max="9" width="43" customWidth="1"/>
  </cols>
  <sheetData>
    <row r="1" spans="1:10" ht="2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4" customHeight="1">
      <c r="A2" s="1"/>
      <c r="B2" s="17" t="inlineStr">
        <is>
          <t xml:space="preserve">오늘 날짜 (TODAY 함수 사용)</t>
        </is>
      </c>
      <c r="C2" s="13">
        <f ca="1">TODAY()</f>
        <v>46307</v>
      </c>
      <c r="D2" s="1"/>
      <c r="E2" s="1"/>
      <c r="F2" s="17" t="inlineStr">
        <is>
          <t xml:space="preserve">년 (YEAR 함수 사용)</t>
        </is>
      </c>
      <c r="G2" s="15">
        <f ca="1">YEAR(C2)</f>
        <v>2026</v>
      </c>
      <c r="H2" s="1"/>
      <c r="I2" s="18" t="inlineStr">
        <is>
          <t xml:space="preserve">노란색 셀에 지정된 함수로 수식을 입력하세요.</t>
        </is>
      </c>
      <c r="J2" s="1"/>
    </row>
    <row r="3" spans="1:10" ht="44" customHeight="1">
      <c r="A3" s="1"/>
      <c r="B3" s="17" t="inlineStr">
        <is>
          <t xml:space="preserve">현재 날짜·시간 (NOW 함수 사용)</t>
        </is>
      </c>
      <c r="C3" s="14">
        <f ca="1">NOW()</f>
        <v>46307.64158171296</v>
      </c>
      <c r="D3" s="1"/>
      <c r="E3" s="1"/>
      <c r="F3" s="17" t="inlineStr">
        <is>
          <t xml:space="preserve">월 (MONTH 함수 사용)</t>
        </is>
      </c>
      <c r="G3" s="15">
        <f ca="1">MONTH(C2)</f>
        <v>10</v>
      </c>
      <c r="H3" s="1"/>
      <c r="I3" s="1" t="s">
        <v>28</v>
      </c>
      <c r="J3" s="1"/>
    </row>
    <row r="4" spans="1:10" ht="44" customHeight="1">
      <c r="A4" s="1"/>
      <c r="B4" s="1"/>
      <c r="C4" s="1"/>
      <c r="D4" s="1"/>
      <c r="E4" s="1"/>
      <c r="F4" s="17" t="inlineStr">
        <is>
          <t xml:space="preserve">일 (DAY 함수 사용)</t>
        </is>
      </c>
      <c r="G4" s="15">
        <f ca="1">DAY(C2)</f>
        <v>12</v>
      </c>
      <c r="H4" s="1"/>
      <c r="I4" s="1" t="s">
        <v>30</v>
      </c>
      <c r="J4" s="1"/>
    </row>
    <row r="5" spans="1:10" ht="44" customHeight="1">
      <c r="A5" s="1"/>
      <c r="B5" s="17" t="inlineStr">
        <is>
          <t xml:space="preserve">날짜 만들기 (DATE 함수 사용)</t>
        </is>
      </c>
      <c r="C5" s="13">
        <f ca="1">DATE(G2,G3,G4)</f>
        <v>46307</v>
      </c>
      <c r="D5" s="1"/>
      <c r="E5" s="1"/>
      <c r="F5" s="1"/>
      <c r="G5" s="1"/>
      <c r="H5" s="1"/>
      <c r="I5" s="1"/>
      <c r="J5" s="1"/>
    </row>
    <row r="6" spans="1:10" ht="44" customHeight="1">
      <c r="A6" s="1"/>
      <c r="B6" s="17" t="inlineStr">
        <is>
          <t xml:space="preserve">시간 만들기 (TIME 함수 사용)</t>
        </is>
      </c>
      <c r="C6" s="16">
        <f ca="1">TIME(G6,G7,G8)</f>
        <v>0.64158564814814811</v>
      </c>
      <c r="D6" s="1"/>
      <c r="E6" s="1"/>
      <c r="F6" s="17" t="inlineStr">
        <is>
          <t xml:space="preserve">시 (HOUR 함수 사용)</t>
        </is>
      </c>
      <c r="G6" s="15">
        <f ca="1">HOUR(C3)</f>
        <v>15</v>
      </c>
      <c r="H6" s="1"/>
      <c r="I6" s="1"/>
      <c r="J6" s="1"/>
    </row>
    <row r="7" spans="1:10" ht="44" customHeight="1">
      <c r="A7" s="1"/>
      <c r="B7" s="17" t="inlineStr">
        <is>
          <t xml:space="preserve">요일 번호: 월=1
(WEEKDAY 함수 사용)</t>
        </is>
      </c>
      <c r="C7" s="15">
        <f ca="1">WEEKDAY(C2,2)</f>
        <v>1</v>
      </c>
      <c r="D7" s="1"/>
      <c r="E7" s="1"/>
      <c r="F7" s="17" t="inlineStr">
        <is>
          <t xml:space="preserve">분 (MINUTE 함수 사용)</t>
        </is>
      </c>
      <c r="G7" s="15">
        <f ca="1">MINUTE(C3)</f>
        <v>23</v>
      </c>
      <c r="H7" s="1"/>
      <c r="I7" s="1"/>
      <c r="J7" s="1"/>
    </row>
    <row r="8" spans="1:10" ht="44" customHeight="1">
      <c r="A8" s="1"/>
      <c r="B8" s="1"/>
      <c r="C8" s="1"/>
      <c r="D8" s="1"/>
      <c r="E8" s="1"/>
      <c r="F8" s="17" t="inlineStr">
        <is>
          <t xml:space="preserve">초 (SECOND 함수 사용)</t>
        </is>
      </c>
      <c r="G8" s="15">
        <f ca="1">SECOND(C3)</f>
        <v>53</v>
      </c>
      <c r="H8" s="1"/>
      <c r="I8" s="1"/>
      <c r="J8" s="1"/>
    </row>
    <row r="9" spans="1:10" ht="44" customHeight="1">
      <c r="A9" s="1"/>
      <c r="B9" s="2" t="s">
        <v>37</v>
      </c>
      <c r="C9" s="2" t="s">
        <v>38</v>
      </c>
      <c r="D9" s="17" t="inlineStr">
        <is>
          <t xml:space="preserve">완료일
(WORKDAY 함수 사용)</t>
        </is>
      </c>
      <c r="E9" s="1"/>
      <c r="F9" s="1"/>
      <c r="G9" s="1"/>
      <c r="H9" s="1"/>
      <c r="I9" s="1"/>
      <c r="J9" s="1"/>
    </row>
    <row r="10" spans="1:10" ht="27" customHeight="1">
      <c r="A10" s="1"/>
      <c r="B10" s="6">
        <v>46147</v>
      </c>
      <c r="C10" s="1">
        <v>15</v>
      </c>
      <c r="D10" s="13">
        <f>WORKDAY(B10,C10)</f>
        <v>46168</v>
      </c>
      <c r="E10" s="1"/>
      <c r="F10" s="2" t="s">
        <v>40</v>
      </c>
      <c r="G10" s="2" t="s">
        <v>41</v>
      </c>
      <c r="H10" s="1"/>
      <c r="I10" s="1"/>
      <c r="J10" s="1"/>
    </row>
    <row r="11" spans="1:10" ht="27" customHeight="1">
      <c r="A11" s="1"/>
      <c r="B11" s="1"/>
      <c r="C11" s="1"/>
      <c r="D11" s="1"/>
      <c r="E11" s="1"/>
      <c r="F11" s="6">
        <v>46086</v>
      </c>
      <c r="G11" s="6">
        <v>46211</v>
      </c>
      <c r="H11" s="1"/>
      <c r="I11" s="1"/>
      <c r="J11" s="1"/>
    </row>
    <row r="12" spans="1:10" ht="44" customHeight="1">
      <c r="A12" s="1"/>
      <c r="B12" s="2" t="s">
        <v>42</v>
      </c>
      <c r="C12" s="17" t="inlineStr">
        <is>
          <t xml:space="preserve">3개월 후
(EDATE 함수 사용)</t>
        </is>
      </c>
      <c r="D12" s="17" t="inlineStr">
        <is>
          <t xml:space="preserve">3개월 후 말일
(EOMONTH 함수 사용)</t>
        </is>
      </c>
      <c r="E12" s="1"/>
      <c r="F12" s="17" t="inlineStr">
        <is>
          <t xml:space="preserve">기간: 종료일−시작일
(DAYS 함수 사용)</t>
        </is>
      </c>
      <c r="G12" s="1"/>
      <c r="H12" s="1"/>
      <c r="I12" s="1"/>
      <c r="J12" s="1"/>
    </row>
    <row r="13" spans="1:10" ht="27" customHeight="1">
      <c r="A13" s="1"/>
      <c r="B13" s="6">
        <v>46145</v>
      </c>
      <c r="C13" s="13">
        <f>EDATE(B13,3)</f>
        <v>46237</v>
      </c>
      <c r="D13" s="13">
        <f>EOMONTH(B13,3)</f>
        <v>46265</v>
      </c>
      <c r="E13" s="1"/>
      <c r="F13" s="15">
        <f>_xlfn.DAYS(G11,F11)</f>
        <v>125</v>
      </c>
      <c r="G13" s="1"/>
      <c r="H13" s="1"/>
      <c r="I13" s="1"/>
      <c r="J13" s="1"/>
    </row>
    <row r="14" spans="1:1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" customHeight="1">
      <c r="A16" s="1"/>
      <c r="B16" s="2" t="s">
        <v>46</v>
      </c>
      <c r="C16" s="1"/>
      <c r="D16" s="1"/>
      <c r="E16" s="1"/>
      <c r="F16" s="1"/>
      <c r="G16" s="1"/>
      <c r="H16" s="1"/>
      <c r="I16" s="1"/>
      <c r="J16" s="1"/>
    </row>
    <row r="17" spans="1:10" ht="44" customHeight="1">
      <c r="A17" s="1"/>
      <c r="B17" s="6">
        <v>45144</v>
      </c>
      <c r="C17" s="17" t="inlineStr">
        <is>
          <t xml:space="preserve">요일 번호: 월=1
(WEEKDAY 함수 사용)</t>
        </is>
      </c>
      <c r="D17" s="15">
        <f>WEEKDAY(B17,2)</f>
        <v>7</v>
      </c>
      <c r="E17" s="1"/>
      <c r="F17" s="1"/>
      <c r="G17" s="1"/>
      <c r="H17" s="1"/>
      <c r="I17" s="1"/>
      <c r="J17" s="1"/>
    </row>
    <row r="18" spans="1:10" ht="44" customHeight="1">
      <c r="A18" s="1"/>
      <c r="B18" s="11">
        <v>45144.611990740741</v>
      </c>
      <c r="C18" s="17" t="inlineStr">
        <is>
          <t xml:space="preserve">초 추출
(SECOND 함수 사용)</t>
        </is>
      </c>
      <c r="D18" s="15">
        <f>SECOND(B18)</f>
        <v>16</v>
      </c>
      <c r="E18" s="1"/>
      <c r="F18" s="1"/>
      <c r="G18" s="1"/>
      <c r="H18" s="1"/>
      <c r="I18" s="1"/>
      <c r="J18" s="1"/>
    </row>
    <row r="19" spans="1:10" ht="44" customHeight="1">
      <c r="A19" s="1"/>
      <c r="B19" s="1"/>
      <c r="C19" s="17" t="inlineStr">
        <is>
          <t xml:space="preserve">휴일 포함 완료일
(WORKDAY 함수 사용)</t>
        </is>
      </c>
      <c r="D19" s="13">
        <f>WORKDAY(B10,C10,B21)</f>
        <v>46169</v>
      </c>
      <c r="E19" s="1"/>
      <c r="F19" s="1"/>
      <c r="G19" s="1"/>
      <c r="H19" s="1"/>
      <c r="I19" s="1"/>
      <c r="J19" s="1"/>
    </row>
    <row r="20" spans="1:10" ht="44" customHeight="1">
      <c r="A20" s="1"/>
      <c r="B20" s="1" t="s">
        <v>50</v>
      </c>
      <c r="C20" s="17" t="inlineStr">
        <is>
          <t xml:space="preserve">B22의 1개월 후
(EDATE 함수 사용)</t>
        </is>
      </c>
      <c r="D20" s="13">
        <f>EDATE(B22,1)</f>
        <v>46081</v>
      </c>
      <c r="E20" s="1"/>
      <c r="F20" s="1"/>
      <c r="G20" s="1"/>
      <c r="H20" s="1"/>
      <c r="I20" s="1"/>
      <c r="J20" s="1"/>
    </row>
    <row r="21" spans="1:10" ht="44" customHeight="1">
      <c r="A21" s="1"/>
      <c r="B21" s="6">
        <v>46167</v>
      </c>
      <c r="C21" s="17" t="inlineStr">
        <is>
          <t xml:space="preserve">시작일−종료일
(DAYS 함수 사용)</t>
        </is>
      </c>
      <c r="D21" s="15">
        <f>_xlfn.DAYS(F11,G11)</f>
        <v>-125</v>
      </c>
      <c r="E21" s="1"/>
      <c r="F21" s="1"/>
      <c r="G21" s="1"/>
      <c r="H21" s="1"/>
      <c r="I21" s="1"/>
      <c r="J21" s="1"/>
    </row>
    <row r="22" spans="1:10" ht="27" customHeight="1">
      <c r="A22" s="1"/>
      <c r="B22" s="6">
        <v>46053</v>
      </c>
      <c r="C22" s="1"/>
      <c r="D22" s="1"/>
      <c r="E22" s="1"/>
      <c r="F22" s="1"/>
      <c r="G22" s="1"/>
      <c r="H22" s="1"/>
      <c r="I22" s="1"/>
      <c r="J22" s="1"/>
    </row>
    <row r="23" spans="1:1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" customHeight="1">
      <c r="A25" s="1"/>
      <c r="B25" s="1" t="s">
        <v>22</v>
      </c>
      <c r="C25" s="1"/>
      <c r="D25" s="1"/>
      <c r="E25" s="1"/>
      <c r="F25" s="1"/>
      <c r="G25" s="1"/>
      <c r="H25" s="1"/>
      <c r="I25" s="1"/>
      <c r="J25" s="1"/>
    </row>
    <row r="26" spans="1:10" ht="27" customHeight="1">
      <c r="A26" s="1"/>
      <c r="B26" s="1" t="s">
        <v>23</v>
      </c>
      <c r="C26" s="1"/>
      <c r="D26" s="1"/>
      <c r="E26" s="1"/>
      <c r="F26" s="1"/>
      <c r="G26" s="1"/>
      <c r="H26" s="1"/>
      <c r="I26" s="1"/>
      <c r="J26" s="1"/>
    </row>
    <row r="27" spans="1:1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텍스트_연습</vt:lpstr>
      <vt:lpstr>날짜시간_연습</vt:lpstr>
      <vt:lpstr>텍스트_정답</vt:lpstr>
      <vt:lpstr>날짜시간_정답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2026-10-12T06:23:53Z</dcterms:modified>
</cp:coreProperties>
</file>