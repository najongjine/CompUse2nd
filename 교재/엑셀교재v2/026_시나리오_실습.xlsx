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ORYOUCOM\Documents\CompUse2nd\교재\엑셀교재v2\"/>
    </mc:Choice>
  </mc:AlternateContent>
  <xr:revisionPtr revIDLastSave="0" documentId="13_ncr:1_{CD2E15C1-84CD-412B-A21E-7C071D50E87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사용안내" sheetId="1" r:id="rId1"/>
    <sheet name="시나리오_실습" sheetId="2" r:id="rId2"/>
    <sheet name="시나리오 요약보고서" sheetId="4" r:id="rId3"/>
    <sheet name="시나리오" sheetId="3" r:id="rId4"/>
  </sheets>
  <definedNames>
    <definedName name="_xlnm.Print_Area" localSheetId="0">사용안내!$A$1:$D$18</definedName>
    <definedName name="_xlnm.Print_Area" localSheetId="3">시나리오!$A$1:$G$29</definedName>
    <definedName name="_xlnm.Print_Area" localSheetId="2">'시나리오 요약보고서'!$B$2:$F$11</definedName>
    <definedName name="_xlnm.Print_Area" localSheetId="1">시나리오_실습!$A$1:$G$23</definedName>
    <definedName name="불량률">시나리오!$G$14</definedName>
    <definedName name="손실금액합계">시나리오!$G$12</definedName>
  </definedNames>
  <calcPr calcId="191029"/>
</workbook>
</file>

<file path=xl/calcChain.xml><?xml version="1.0" encoding="utf-8"?>
<calcChain xmlns="http://schemas.openxmlformats.org/spreadsheetml/2006/main">
  <c r="F11" i="3" l="1"/>
  <c r="E11" i="3"/>
  <c r="G11" i="3" s="1"/>
  <c r="F10" i="3"/>
  <c r="E10" i="3"/>
  <c r="G10" i="3" s="1"/>
  <c r="F9" i="3"/>
  <c r="E9" i="3"/>
  <c r="G9" i="3" s="1"/>
  <c r="F8" i="3"/>
  <c r="E8" i="3"/>
  <c r="G8" i="3" s="1"/>
  <c r="F7" i="3"/>
  <c r="E7" i="3"/>
  <c r="G7" i="3" s="1"/>
  <c r="F6" i="3"/>
  <c r="E6" i="3"/>
  <c r="G6" i="3" s="1"/>
  <c r="F5" i="3"/>
  <c r="E5" i="3"/>
  <c r="G5" i="3" s="1"/>
  <c r="F4" i="3"/>
  <c r="E4" i="3"/>
  <c r="G4" i="3" s="1"/>
  <c r="F3" i="3"/>
  <c r="E3" i="3"/>
  <c r="F11" i="2"/>
  <c r="E11" i="2"/>
  <c r="G11" i="2" s="1"/>
  <c r="F10" i="2"/>
  <c r="E10" i="2"/>
  <c r="G10" i="2" s="1"/>
  <c r="F9" i="2"/>
  <c r="E9" i="2"/>
  <c r="G9" i="2" s="1"/>
  <c r="F8" i="2"/>
  <c r="E8" i="2"/>
  <c r="G8" i="2" s="1"/>
  <c r="F7" i="2"/>
  <c r="E7" i="2"/>
  <c r="G7" i="2" s="1"/>
  <c r="F6" i="2"/>
  <c r="E6" i="2"/>
  <c r="G6" i="2" s="1"/>
  <c r="F5" i="2"/>
  <c r="E5" i="2"/>
  <c r="G5" i="2" s="1"/>
  <c r="F4" i="2"/>
  <c r="E4" i="2"/>
  <c r="G4" i="2" s="1"/>
  <c r="F3" i="2"/>
  <c r="E3" i="2"/>
  <c r="G3" i="3" l="1"/>
  <c r="E12" i="3"/>
  <c r="G3" i="2"/>
  <c r="E12" i="2"/>
  <c r="G12" i="2"/>
  <c r="G12" i="3"/>
</calcChain>
</file>

<file path=xl/sharedStrings.xml><?xml version="1.0" encoding="utf-8"?>
<sst xmlns="http://schemas.openxmlformats.org/spreadsheetml/2006/main" count="78" uniqueCount="53">
  <si>
    <t>026 시나리오 사용 안내</t>
  </si>
  <si>
    <t>시나리오_실습: 변경 셀과 결과 셀을 지정하고 두 시나리오를 직접 만듭니다.</t>
  </si>
  <si>
    <t>시나리오: 실제 Excel 시나리오 불량률증가·불량률감소가 저장된 정답 시트입니다.</t>
  </si>
  <si>
    <t>시나리오 요약보고서: 시나리오 시트 바로 앞에 놓인 Excel 기본 요약 결과입니다.</t>
  </si>
  <si>
    <t>시나리오_실습 탭 우클릭 → 이동/복사 → 복사본 만들기 체크 → 확인.</t>
  </si>
  <si>
    <t>변경 셀 G14는 불량률, 결과 셀 G12는 손실금액합계입니다.</t>
  </si>
  <si>
    <t>기준 불량률은 5%이고 손실금액합계는 1,686,500원입니다.</t>
  </si>
  <si>
    <t>시나리오 이름 불량률증가 / 저장할 값 7%.</t>
  </si>
  <si>
    <t>시나리오 이름 불량률감소 / 저장할 값 3%.</t>
  </si>
  <si>
    <t>데이터 → 가상 분석 → 시나리오 관리자 → 추가에서 이름·변경 셀·값을 지정합니다.</t>
  </si>
  <si>
    <t>요약 → 시나리오 요약 선택 → 결과 셀 G12 → 확인.</t>
  </si>
  <si>
    <t>요약보고서 탭을 드래그해서 시나리오 시트 바로 앞에 둡니다.</t>
  </si>
  <si>
    <t>시나리오 관리자에서 시나리오 선택 → 표시를 누르면 G14와 G12가 바뀝니다.</t>
  </si>
  <si>
    <t>기존 요약보고서는 자동 갱신되지 않습니다. 원본·시나리오를 바꾼 뒤 요약을 다시 만드세요.</t>
  </si>
  <si>
    <t>원본 사진에는 판매현황 자료가 없습니다. 합계 33,730,000인 학습용 판매표로 재구성했습니다.</t>
  </si>
  <si>
    <t>사진 지시문의 수익률 7%·3%는 변경 셀 G14의 불량률로 해석했습니다.</t>
  </si>
  <si>
    <t>실습 복사본의 이름은 수식 → 이름 정의에서 범위를 해당 시트로 지정하면 정답 이름과 충돌하지 않습니다.</t>
  </si>
  <si>
    <t>판매현황과 불량 손실금액</t>
  </si>
  <si>
    <t>품명</t>
  </si>
  <si>
    <t>판매수량</t>
  </si>
  <si>
    <t>판매단가</t>
  </si>
  <si>
    <t>판매금액</t>
  </si>
  <si>
    <t>불량수량</t>
  </si>
  <si>
    <t>손실금액</t>
  </si>
  <si>
    <t>컴퓨터</t>
  </si>
  <si>
    <t>모니터</t>
  </si>
  <si>
    <t>프린터</t>
  </si>
  <si>
    <t>키보드</t>
  </si>
  <si>
    <t>마우스</t>
  </si>
  <si>
    <t>SSD</t>
  </si>
  <si>
    <t>공유기</t>
  </si>
  <si>
    <t>책상</t>
  </si>
  <si>
    <t>의자</t>
  </si>
  <si>
    <t>합계</t>
  </si>
  <si>
    <t>불량률</t>
  </si>
  <si>
    <t>메뉴: 데이터 → 가상 분석 → 시나리오 관리자 → 추가 → 요약.</t>
  </si>
  <si>
    <t>손실금액합계</t>
  </si>
  <si>
    <t>불량률증가</t>
  </si>
  <si>
    <t>학습용 불량률 7%</t>
  </si>
  <si>
    <t>불량률감소</t>
  </si>
  <si>
    <t>학습용 불량률 3%</t>
  </si>
  <si>
    <t>시나리오 요약</t>
  </si>
  <si>
    <t>변경 셀:</t>
  </si>
  <si>
    <t>현재 값:</t>
  </si>
  <si>
    <t>결과 셀:</t>
  </si>
  <si>
    <t>참고: 현재 값 열은 시나리오 요약 보고서가 작성될 때의</t>
  </si>
  <si>
    <t>변경 셀 값을 나타냅니다. 각 시나리오의 변경 셀들은</t>
  </si>
  <si>
    <t>회색으로 표시됩니다.</t>
  </si>
  <si>
    <t>판매현황’표에서 불량률[G14]이 변동하는 경우 손실금액 합계[G12]의 변동 시나리오를 작성하시오.</t>
  </si>
  <si>
    <t>▶ 셀 이름 정의 : [G14] 셀은 ‘불량률’, [G12] 셀은 ‘손실금액합계’로 정의하시오.</t>
  </si>
  <si>
    <t>▶ 시나리오1 : 시나리오 이름은 ‘불량률증가’, 수익률은 ‘7%’로 설정하시오.</t>
  </si>
  <si>
    <t>▶ 시나리오2 : 시나리오 이름은 ‘불량률감소’, 수익률은 ‘3%’로 설정하시오.</t>
  </si>
  <si>
    <t>▶ ‘시나리오 요약’보고서는 ‘분석작업’ 시트 바로 앞에 위치시키시오.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</si>
</sst>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1"/>
      <name val="맑은 고딕"/>
      <family val="3"/>
      <charset val="129"/>
    </font>
    <font>
      <sz val="16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8"/>
      <name val="맑은 고딕"/>
      <family val="3"/>
      <charset val="129"/>
    </font>
    <font>
      <sz val="10.5"/>
      <color rgb="FF000000"/>
      <name val="맑은 고딕"/>
      <family val="2"/>
    </font>
  </fonts>
  <fills count="7">
    <fill>
      <patternFill patternType="none"/>
    </fill>
    <fill>
      <patternFill patternType="gray125"/>
    </fill>
    <fill>
      <patternFill patternType="solid">
        <fgColor rgb="FFE2EDF7"/>
      </patternFill>
    </fill>
    <fill>
      <patternFill patternType="solid">
        <fgColor rgb="FFFFF2CC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1">
    <xf numFmtId="0" fontId="0" fillId="0" borderId="0" xfId="0"/>
    <xf numFmtId="0" fontId="1" fillId="0" borderId="0" xfId="1" applyFont="1"/>
    <xf numFmtId="0" fontId="1" fillId="0" borderId="0" xfId="1" applyFont="1" applyAlignment="1">
      <alignment vertical="center"/>
    </xf>
    <xf numFmtId="0" fontId="3" fillId="2" borderId="0" xfId="1" applyFont="1" applyFill="1" applyAlignment="1">
      <alignment vertical="center"/>
    </xf>
    <xf numFmtId="0" fontId="3" fillId="2" borderId="0" xfId="1" applyFont="1" applyFill="1" applyAlignment="1">
      <alignment horizontal="center" vertical="center"/>
    </xf>
    <xf numFmtId="3" fontId="1" fillId="0" borderId="0" xfId="1" applyNumberFormat="1" applyFont="1" applyAlignment="1">
      <alignment vertical="center"/>
    </xf>
    <xf numFmtId="3" fontId="3" fillId="2" borderId="0" xfId="1" applyNumberFormat="1" applyFont="1" applyFill="1" applyAlignment="1">
      <alignment vertical="center"/>
    </xf>
    <xf numFmtId="2" fontId="1" fillId="0" borderId="0" xfId="1" applyNumberFormat="1" applyFont="1" applyAlignment="1">
      <alignment vertical="center"/>
    </xf>
    <xf numFmtId="9" fontId="1" fillId="3" borderId="0" xfId="1" applyNumberFormat="1" applyFont="1" applyFill="1" applyAlignment="1">
      <alignment vertical="center"/>
    </xf>
    <xf numFmtId="0" fontId="1" fillId="0" borderId="0" xfId="1" applyFont="1" applyAlignment="1">
      <alignment vertical="center" wrapText="1"/>
    </xf>
    <xf numFmtId="0" fontId="1" fillId="0" borderId="0" xfId="0" applyFont="1"/>
    <xf numFmtId="0" fontId="6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right"/>
    </xf>
    <xf numFmtId="0" fontId="6" fillId="4" borderId="3" xfId="0" applyFont="1" applyFill="1" applyBorder="1" applyAlignment="1">
      <alignment horizontal="left"/>
    </xf>
    <xf numFmtId="0" fontId="6" fillId="4" borderId="3" xfId="0" applyFont="1" applyFill="1" applyBorder="1" applyAlignment="1">
      <alignment horizontal="right"/>
    </xf>
    <xf numFmtId="0" fontId="7" fillId="5" borderId="0" xfId="0" applyFont="1" applyFill="1" applyAlignment="1">
      <alignment horizontal="left"/>
    </xf>
    <xf numFmtId="0" fontId="8" fillId="5" borderId="4" xfId="0" applyFont="1" applyFill="1" applyBorder="1" applyAlignment="1">
      <alignment horizontal="left"/>
    </xf>
    <xf numFmtId="0" fontId="1" fillId="0" borderId="4" xfId="0" applyFont="1" applyBorder="1"/>
    <xf numFmtId="9" fontId="1" fillId="0" borderId="0" xfId="0" applyNumberFormat="1" applyFont="1"/>
    <xf numFmtId="9" fontId="1" fillId="6" borderId="0" xfId="0" applyNumberFormat="1" applyFont="1" applyFill="1"/>
    <xf numFmtId="0" fontId="7" fillId="5" borderId="2" xfId="0" applyFont="1" applyFill="1" applyBorder="1" applyAlignment="1">
      <alignment horizontal="left"/>
    </xf>
    <xf numFmtId="3" fontId="1" fillId="0" borderId="2" xfId="0" applyNumberFormat="1" applyFont="1" applyBorder="1"/>
    <xf numFmtId="0" fontId="1" fillId="0" borderId="0" xfId="0" applyFont="1" applyAlignment="1">
      <alignment vertical="top" wrapText="1"/>
    </xf>
    <xf numFmtId="0" fontId="2" fillId="0" borderId="0" xfId="1" applyFont="1"/>
    <xf numFmtId="0" fontId="1" fillId="0" borderId="0" xfId="1" applyFont="1"/>
    <xf numFmtId="0" fontId="1" fillId="0" borderId="0" xfId="1" applyFont="1" applyAlignment="1">
      <alignment wrapText="1"/>
    </xf>
    <xf numFmtId="0" fontId="1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0"/>
  <sheetViews>
    <sheetView showGridLines="0" zoomScale="90" zoomScaleNormal="90" workbookViewId="0">
      <selection sqref="A1:D1"/>
    </sheetView>
  </sheetViews>
  <sheetFormatPr defaultRowHeight="14.25"/>
  <cols>
    <col min="1" max="4" width="31" customWidth="1"/>
  </cols>
  <sheetData>
    <row r="1" spans="1:4" ht="36" customHeight="1">
      <c r="A1" s="23" t="s">
        <v>0</v>
      </c>
      <c r="B1" s="24"/>
      <c r="C1" s="24"/>
      <c r="D1" s="24"/>
    </row>
    <row r="2" spans="1:4" ht="36" customHeight="1">
      <c r="A2" s="1"/>
      <c r="B2" s="1"/>
      <c r="C2" s="1"/>
      <c r="D2" s="1"/>
    </row>
    <row r="3" spans="1:4" ht="36" customHeight="1">
      <c r="A3" s="25" t="s">
        <v>1</v>
      </c>
      <c r="B3" s="25"/>
      <c r="C3" s="25"/>
      <c r="D3" s="25"/>
    </row>
    <row r="4" spans="1:4" ht="36" customHeight="1">
      <c r="A4" s="25" t="s">
        <v>2</v>
      </c>
      <c r="B4" s="25"/>
      <c r="C4" s="25"/>
      <c r="D4" s="25"/>
    </row>
    <row r="5" spans="1:4" ht="36" customHeight="1">
      <c r="A5" s="25" t="s">
        <v>3</v>
      </c>
      <c r="B5" s="25"/>
      <c r="C5" s="25"/>
      <c r="D5" s="25"/>
    </row>
    <row r="6" spans="1:4" ht="36" customHeight="1">
      <c r="A6" s="25" t="s">
        <v>4</v>
      </c>
      <c r="B6" s="25"/>
      <c r="C6" s="25"/>
      <c r="D6" s="25"/>
    </row>
    <row r="7" spans="1:4" ht="36" customHeight="1">
      <c r="A7" s="25" t="s">
        <v>5</v>
      </c>
      <c r="B7" s="25"/>
      <c r="C7" s="25"/>
      <c r="D7" s="25"/>
    </row>
    <row r="8" spans="1:4" ht="36" customHeight="1">
      <c r="A8" s="25" t="s">
        <v>6</v>
      </c>
      <c r="B8" s="25"/>
      <c r="C8" s="25"/>
      <c r="D8" s="25"/>
    </row>
    <row r="9" spans="1:4" ht="36" customHeight="1">
      <c r="A9" s="25" t="s">
        <v>7</v>
      </c>
      <c r="B9" s="25"/>
      <c r="C9" s="25"/>
      <c r="D9" s="25"/>
    </row>
    <row r="10" spans="1:4" ht="36" customHeight="1">
      <c r="A10" s="25" t="s">
        <v>8</v>
      </c>
      <c r="B10" s="25"/>
      <c r="C10" s="25"/>
      <c r="D10" s="25"/>
    </row>
    <row r="11" spans="1:4" ht="36" customHeight="1">
      <c r="A11" s="25" t="s">
        <v>9</v>
      </c>
      <c r="B11" s="25"/>
      <c r="C11" s="25"/>
      <c r="D11" s="25"/>
    </row>
    <row r="12" spans="1:4" ht="36" customHeight="1">
      <c r="A12" s="25" t="s">
        <v>10</v>
      </c>
      <c r="B12" s="25"/>
      <c r="C12" s="25"/>
      <c r="D12" s="25"/>
    </row>
    <row r="13" spans="1:4" ht="36" customHeight="1">
      <c r="A13" s="25" t="s">
        <v>11</v>
      </c>
      <c r="B13" s="25"/>
      <c r="C13" s="25"/>
      <c r="D13" s="25"/>
    </row>
    <row r="14" spans="1:4" ht="36" customHeight="1">
      <c r="A14" s="25" t="s">
        <v>12</v>
      </c>
      <c r="B14" s="25"/>
      <c r="C14" s="25"/>
      <c r="D14" s="25"/>
    </row>
    <row r="15" spans="1:4" ht="36" customHeight="1">
      <c r="A15" s="25" t="s">
        <v>13</v>
      </c>
      <c r="B15" s="25"/>
      <c r="C15" s="25"/>
      <c r="D15" s="25"/>
    </row>
    <row r="16" spans="1:4" ht="36" customHeight="1">
      <c r="A16" s="25" t="s">
        <v>14</v>
      </c>
      <c r="B16" s="25"/>
      <c r="C16" s="25"/>
      <c r="D16" s="25"/>
    </row>
    <row r="17" spans="1:4" ht="36" customHeight="1">
      <c r="A17" s="25" t="s">
        <v>15</v>
      </c>
      <c r="B17" s="25"/>
      <c r="C17" s="25"/>
      <c r="D17" s="25"/>
    </row>
    <row r="18" spans="1:4" ht="36" customHeight="1">
      <c r="A18" s="25" t="s">
        <v>16</v>
      </c>
      <c r="B18" s="25"/>
      <c r="C18" s="25"/>
      <c r="D18" s="25"/>
    </row>
    <row r="19" spans="1:4" ht="36" customHeight="1">
      <c r="A19" s="1"/>
      <c r="B19" s="1"/>
      <c r="C19" s="1"/>
      <c r="D19" s="1"/>
    </row>
    <row r="20" spans="1:4" ht="36" customHeight="1">
      <c r="A20" s="1"/>
      <c r="B20" s="1"/>
      <c r="C20" s="1"/>
      <c r="D20" s="1"/>
    </row>
  </sheetData>
  <mergeCells count="17">
    <mergeCell ref="A17:D17"/>
    <mergeCell ref="A18:D18"/>
    <mergeCell ref="A12:D12"/>
    <mergeCell ref="A13:D13"/>
    <mergeCell ref="A14:D14"/>
    <mergeCell ref="A15:D15"/>
    <mergeCell ref="A16:D16"/>
    <mergeCell ref="A7:D7"/>
    <mergeCell ref="A8:D8"/>
    <mergeCell ref="A9:D9"/>
    <mergeCell ref="A10:D10"/>
    <mergeCell ref="A11:D11"/>
    <mergeCell ref="A1:D1"/>
    <mergeCell ref="A3:D3"/>
    <mergeCell ref="A4:D4"/>
    <mergeCell ref="A5:D5"/>
    <mergeCell ref="A6:D6"/>
  </mergeCells>
  <phoneticPr fontId="5" type="noConversion"/>
  <pageMargins left="0.7" right="0.7" top="0.75" bottom="0.75" header="0.3" footer="0.3"/>
  <pageSetup paperSize="9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4"/>
  <sheetViews>
    <sheetView tabSelected="1" topLeftCell="A10" workbookViewId="0">
      <selection activeCell="B16" sqref="B16:G24"/>
    </sheetView>
  </sheetViews>
  <sheetFormatPr defaultRowHeight="14.25"/>
  <cols>
    <col min="1" max="1" width="3" customWidth="1"/>
    <col min="2" max="2" width="20" customWidth="1"/>
    <col min="3" max="4" width="17" customWidth="1"/>
    <col min="5" max="5" width="20" customWidth="1"/>
    <col min="6" max="6" width="18" customWidth="1"/>
    <col min="7" max="7" width="21" customWidth="1"/>
    <col min="8" max="9" width="3" customWidth="1"/>
  </cols>
  <sheetData>
    <row r="1" spans="1:9" ht="30" customHeight="1">
      <c r="A1" s="2"/>
      <c r="B1" s="27" t="s">
        <v>17</v>
      </c>
      <c r="C1" s="28"/>
      <c r="D1" s="28"/>
      <c r="E1" s="28"/>
      <c r="F1" s="28"/>
      <c r="G1" s="28"/>
      <c r="H1" s="2"/>
      <c r="I1" s="2"/>
    </row>
    <row r="2" spans="1:9" ht="30" customHeight="1">
      <c r="A2" s="2"/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2"/>
      <c r="I2" s="2"/>
    </row>
    <row r="3" spans="1:9" ht="30" customHeight="1">
      <c r="A3" s="2"/>
      <c r="B3" s="2" t="s">
        <v>24</v>
      </c>
      <c r="C3" s="2">
        <v>10</v>
      </c>
      <c r="D3" s="5">
        <v>1150000</v>
      </c>
      <c r="E3" s="5">
        <f t="shared" ref="E3:E11" si="0">C3*D3</f>
        <v>11500000</v>
      </c>
      <c r="F3" s="7">
        <f t="shared" ref="F3:F11" si="1">C3*$G$14</f>
        <v>0.5</v>
      </c>
      <c r="G3" s="5">
        <f t="shared" ref="G3:G11" si="2">E3*$G$14</f>
        <v>575000</v>
      </c>
      <c r="H3" s="2"/>
      <c r="I3" s="2"/>
    </row>
    <row r="4" spans="1:9" ht="30" customHeight="1">
      <c r="A4" s="2"/>
      <c r="B4" s="2" t="s">
        <v>25</v>
      </c>
      <c r="C4" s="2">
        <v>20</v>
      </c>
      <c r="D4" s="5">
        <v>250000</v>
      </c>
      <c r="E4" s="5">
        <f t="shared" si="0"/>
        <v>5000000</v>
      </c>
      <c r="F4" s="7">
        <f t="shared" si="1"/>
        <v>1</v>
      </c>
      <c r="G4" s="5">
        <f t="shared" si="2"/>
        <v>250000</v>
      </c>
      <c r="H4" s="2"/>
      <c r="I4" s="2"/>
    </row>
    <row r="5" spans="1:9" ht="30" customHeight="1">
      <c r="A5" s="2"/>
      <c r="B5" s="2" t="s">
        <v>26</v>
      </c>
      <c r="C5" s="2">
        <v>8</v>
      </c>
      <c r="D5" s="5">
        <v>350000</v>
      </c>
      <c r="E5" s="5">
        <f t="shared" si="0"/>
        <v>2800000</v>
      </c>
      <c r="F5" s="7">
        <f t="shared" si="1"/>
        <v>0.4</v>
      </c>
      <c r="G5" s="5">
        <f t="shared" si="2"/>
        <v>140000</v>
      </c>
      <c r="H5" s="2"/>
      <c r="I5" s="2"/>
    </row>
    <row r="6" spans="1:9" ht="30" customHeight="1">
      <c r="A6" s="2"/>
      <c r="B6" s="2" t="s">
        <v>27</v>
      </c>
      <c r="C6" s="2">
        <v>50</v>
      </c>
      <c r="D6" s="5">
        <v>30000</v>
      </c>
      <c r="E6" s="5">
        <f t="shared" si="0"/>
        <v>1500000</v>
      </c>
      <c r="F6" s="7">
        <f t="shared" si="1"/>
        <v>2.5</v>
      </c>
      <c r="G6" s="5">
        <f t="shared" si="2"/>
        <v>75000</v>
      </c>
      <c r="H6" s="2"/>
      <c r="I6" s="2"/>
    </row>
    <row r="7" spans="1:9" ht="30" customHeight="1">
      <c r="A7" s="2"/>
      <c r="B7" s="2" t="s">
        <v>28</v>
      </c>
      <c r="C7" s="2">
        <v>60</v>
      </c>
      <c r="D7" s="5">
        <v>20000</v>
      </c>
      <c r="E7" s="5">
        <f t="shared" si="0"/>
        <v>1200000</v>
      </c>
      <c r="F7" s="7">
        <f t="shared" si="1"/>
        <v>3</v>
      </c>
      <c r="G7" s="5">
        <f t="shared" si="2"/>
        <v>60000</v>
      </c>
      <c r="H7" s="2"/>
      <c r="I7" s="2"/>
    </row>
    <row r="8" spans="1:9" ht="30" customHeight="1">
      <c r="A8" s="2"/>
      <c r="B8" s="2" t="s">
        <v>29</v>
      </c>
      <c r="C8" s="2">
        <v>25</v>
      </c>
      <c r="D8" s="5">
        <v>90000</v>
      </c>
      <c r="E8" s="5">
        <f t="shared" si="0"/>
        <v>2250000</v>
      </c>
      <c r="F8" s="7">
        <f t="shared" si="1"/>
        <v>1.25</v>
      </c>
      <c r="G8" s="5">
        <f t="shared" si="2"/>
        <v>112500</v>
      </c>
      <c r="H8" s="2"/>
      <c r="I8" s="2"/>
    </row>
    <row r="9" spans="1:9" ht="30" customHeight="1">
      <c r="A9" s="2"/>
      <c r="B9" s="2" t="s">
        <v>30</v>
      </c>
      <c r="C9" s="2">
        <v>12</v>
      </c>
      <c r="D9" s="5">
        <v>85000</v>
      </c>
      <c r="E9" s="5">
        <f t="shared" si="0"/>
        <v>1020000</v>
      </c>
      <c r="F9" s="7">
        <f t="shared" si="1"/>
        <v>0.60000000000000009</v>
      </c>
      <c r="G9" s="5">
        <f t="shared" si="2"/>
        <v>51000</v>
      </c>
      <c r="H9" s="2"/>
      <c r="I9" s="2"/>
    </row>
    <row r="10" spans="1:9" ht="30" customHeight="1">
      <c r="A10" s="2"/>
      <c r="B10" s="2" t="s">
        <v>31</v>
      </c>
      <c r="C10" s="2">
        <v>18</v>
      </c>
      <c r="D10" s="5">
        <v>320000</v>
      </c>
      <c r="E10" s="5">
        <f t="shared" si="0"/>
        <v>5760000</v>
      </c>
      <c r="F10" s="7">
        <f t="shared" si="1"/>
        <v>0.9</v>
      </c>
      <c r="G10" s="5">
        <f t="shared" si="2"/>
        <v>288000</v>
      </c>
      <c r="H10" s="2"/>
      <c r="I10" s="2"/>
    </row>
    <row r="11" spans="1:9" ht="30" customHeight="1">
      <c r="A11" s="2"/>
      <c r="B11" s="2" t="s">
        <v>32</v>
      </c>
      <c r="C11" s="2">
        <v>18</v>
      </c>
      <c r="D11" s="5">
        <v>150000</v>
      </c>
      <c r="E11" s="5">
        <f t="shared" si="0"/>
        <v>2700000</v>
      </c>
      <c r="F11" s="7">
        <f t="shared" si="1"/>
        <v>0.9</v>
      </c>
      <c r="G11" s="5">
        <f t="shared" si="2"/>
        <v>135000</v>
      </c>
      <c r="H11" s="2"/>
      <c r="I11" s="2"/>
    </row>
    <row r="12" spans="1:9" ht="30" customHeight="1">
      <c r="A12" s="2"/>
      <c r="B12" s="3" t="s">
        <v>33</v>
      </c>
      <c r="C12" s="3"/>
      <c r="D12" s="6"/>
      <c r="E12" s="6">
        <f>SUM(E3:E11)</f>
        <v>33730000</v>
      </c>
      <c r="F12" s="3"/>
      <c r="G12" s="6">
        <f>SUM(G3:G11)</f>
        <v>1686500</v>
      </c>
      <c r="H12" s="2"/>
      <c r="I12" s="2"/>
    </row>
    <row r="13" spans="1:9" ht="30" customHeight="1">
      <c r="A13" s="2"/>
      <c r="B13" s="2"/>
      <c r="C13" s="2"/>
      <c r="D13" s="2"/>
      <c r="E13" s="2"/>
      <c r="F13" s="2"/>
      <c r="G13" s="2"/>
      <c r="H13" s="2"/>
      <c r="I13" s="2"/>
    </row>
    <row r="14" spans="1:9" ht="30" customHeight="1">
      <c r="A14" s="2"/>
      <c r="B14" s="2"/>
      <c r="C14" s="2"/>
      <c r="D14" s="2"/>
      <c r="E14" s="2"/>
      <c r="F14" s="2" t="s">
        <v>34</v>
      </c>
      <c r="G14" s="8">
        <v>0.05</v>
      </c>
      <c r="H14" s="2"/>
      <c r="I14" s="2"/>
    </row>
    <row r="15" spans="1:9" ht="30" customHeight="1">
      <c r="A15" s="2"/>
      <c r="B15" s="2"/>
      <c r="C15" s="2"/>
      <c r="D15" s="2"/>
      <c r="E15" s="2"/>
      <c r="F15" s="2"/>
      <c r="G15" s="2"/>
      <c r="H15" s="2"/>
      <c r="I15" s="2"/>
    </row>
    <row r="16" spans="1:9" ht="30" customHeight="1">
      <c r="A16" s="2"/>
      <c r="B16" s="29" t="s">
        <v>48</v>
      </c>
      <c r="C16" s="2"/>
      <c r="D16" s="2"/>
      <c r="E16" s="2"/>
      <c r="F16" s="2"/>
      <c r="G16" s="2"/>
      <c r="H16" s="2"/>
      <c r="I16" s="2"/>
    </row>
    <row r="17" spans="1:9" ht="30" customHeight="1">
      <c r="A17" s="2"/>
      <c r="B17" s="30" t="s">
        <v>49</v>
      </c>
      <c r="C17" s="2"/>
      <c r="D17" s="2"/>
      <c r="E17" s="2"/>
      <c r="F17" s="2"/>
      <c r="G17" s="2"/>
      <c r="H17" s="2"/>
      <c r="I17" s="2"/>
    </row>
    <row r="18" spans="1:9" ht="30" customHeight="1">
      <c r="A18" s="2"/>
      <c r="B18" s="30" t="s">
        <v>50</v>
      </c>
      <c r="C18" s="2"/>
      <c r="D18" s="2"/>
      <c r="E18" s="2"/>
      <c r="F18" s="2"/>
      <c r="G18" s="2"/>
      <c r="H18" s="2"/>
      <c r="I18" s="2"/>
    </row>
    <row r="19" spans="1:9" ht="30" customHeight="1">
      <c r="A19" s="2"/>
      <c r="B19" s="30" t="s">
        <v>51</v>
      </c>
      <c r="C19" s="2"/>
      <c r="D19" s="2"/>
      <c r="E19" s="2"/>
      <c r="F19" s="2"/>
      <c r="G19" s="2"/>
      <c r="H19" s="2"/>
      <c r="I19" s="2"/>
    </row>
    <row r="20" spans="1:9" ht="30" customHeight="1">
      <c r="A20" s="2"/>
      <c r="B20" s="30" t="s">
        <v>52</v>
      </c>
      <c r="C20" s="2"/>
      <c r="D20" s="2"/>
      <c r="E20" s="2"/>
      <c r="F20" s="2"/>
      <c r="G20" s="2"/>
      <c r="H20" s="2"/>
      <c r="I20" s="2"/>
    </row>
    <row r="21" spans="1:9" ht="36" customHeight="1">
      <c r="A21" s="2"/>
      <c r="B21" s="26"/>
      <c r="C21" s="26"/>
      <c r="D21" s="26"/>
      <c r="E21" s="26"/>
      <c r="F21" s="26"/>
      <c r="G21" s="26"/>
      <c r="H21" s="2"/>
      <c r="I21" s="2"/>
    </row>
    <row r="22" spans="1:9" ht="36" customHeight="1">
      <c r="A22" s="2"/>
      <c r="B22" s="9"/>
      <c r="C22" s="9"/>
      <c r="D22" s="9"/>
      <c r="E22" s="9"/>
      <c r="F22" s="9"/>
      <c r="G22" s="9"/>
      <c r="H22" s="2"/>
      <c r="I22" s="2"/>
    </row>
    <row r="23" spans="1:9" ht="36" customHeight="1">
      <c r="A23" s="2"/>
      <c r="B23" s="26"/>
      <c r="C23" s="26"/>
      <c r="D23" s="26"/>
      <c r="E23" s="26"/>
      <c r="F23" s="26"/>
      <c r="G23" s="26"/>
      <c r="H23" s="2"/>
      <c r="I23" s="2"/>
    </row>
    <row r="24" spans="1:9" ht="30" customHeight="1">
      <c r="A24" s="2"/>
      <c r="B24" s="26" t="s">
        <v>35</v>
      </c>
      <c r="C24" s="26"/>
      <c r="D24" s="26"/>
      <c r="E24" s="26"/>
      <c r="F24" s="26"/>
      <c r="G24" s="26"/>
      <c r="H24" s="2"/>
      <c r="I24" s="2"/>
    </row>
  </sheetData>
  <mergeCells count="4">
    <mergeCell ref="B24:G24"/>
    <mergeCell ref="B23:G23"/>
    <mergeCell ref="B1:G1"/>
    <mergeCell ref="B21:G21"/>
  </mergeCells>
  <phoneticPr fontId="5" type="noConversion"/>
  <pageMargins left="0.7" right="0.7" top="0.75" bottom="0.75" header="0.3" footer="0.3"/>
  <pageSetup paperSize="9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B631E-B36F-450C-AB61-3D577715F5FD}">
  <sheetPr>
    <outlinePr summaryBelow="0"/>
    <pageSetUpPr fitToPage="1"/>
  </sheetPr>
  <dimension ref="B1:F11"/>
  <sheetViews>
    <sheetView showGridLines="0" zoomScaleNormal="100" workbookViewId="0">
      <selection activeCell="D13" sqref="D13"/>
    </sheetView>
  </sheetViews>
  <sheetFormatPr defaultRowHeight="14.25" outlineLevelRow="1" outlineLevelCol="1"/>
  <cols>
    <col min="2" max="2" width="4.625" customWidth="1"/>
    <col min="3" max="3" width="25.625" customWidth="1"/>
    <col min="4" max="6" width="22.625" customWidth="1" outlineLevel="1"/>
  </cols>
  <sheetData>
    <row r="1" spans="2:6" ht="17.25" thickBot="1">
      <c r="B1" s="10"/>
      <c r="C1" s="10"/>
      <c r="D1" s="10"/>
      <c r="E1" s="10"/>
      <c r="F1" s="10"/>
    </row>
    <row r="2" spans="2:6" ht="16.5">
      <c r="B2" s="11" t="s">
        <v>41</v>
      </c>
      <c r="C2" s="11"/>
      <c r="D2" s="12"/>
      <c r="E2" s="12"/>
      <c r="F2" s="12"/>
    </row>
    <row r="3" spans="2:6" ht="16.5" collapsed="1">
      <c r="B3" s="13"/>
      <c r="C3" s="13"/>
      <c r="D3" s="14" t="s">
        <v>43</v>
      </c>
      <c r="E3" s="14" t="s">
        <v>37</v>
      </c>
      <c r="F3" s="14" t="s">
        <v>39</v>
      </c>
    </row>
    <row r="4" spans="2:6" ht="16.5" hidden="1" outlineLevel="1">
      <c r="B4" s="15"/>
      <c r="C4" s="15"/>
      <c r="D4" s="10"/>
      <c r="E4" s="22" t="s">
        <v>38</v>
      </c>
      <c r="F4" s="22" t="s">
        <v>40</v>
      </c>
    </row>
    <row r="5" spans="2:6" ht="16.5">
      <c r="B5" s="16" t="s">
        <v>42</v>
      </c>
      <c r="C5" s="16"/>
      <c r="D5" s="17"/>
      <c r="E5" s="17"/>
      <c r="F5" s="17"/>
    </row>
    <row r="6" spans="2:6" ht="16.5" outlineLevel="1">
      <c r="B6" s="15"/>
      <c r="C6" s="15" t="s">
        <v>34</v>
      </c>
      <c r="D6" s="18">
        <v>0.05</v>
      </c>
      <c r="E6" s="19">
        <v>7.0000000000000007E-2</v>
      </c>
      <c r="F6" s="19">
        <v>0.03</v>
      </c>
    </row>
    <row r="7" spans="2:6" ht="16.5">
      <c r="B7" s="16" t="s">
        <v>44</v>
      </c>
      <c r="C7" s="16"/>
      <c r="D7" s="17"/>
      <c r="E7" s="17"/>
      <c r="F7" s="17"/>
    </row>
    <row r="8" spans="2:6" ht="17.25" outlineLevel="1" thickBot="1">
      <c r="B8" s="20"/>
      <c r="C8" s="20" t="s">
        <v>36</v>
      </c>
      <c r="D8" s="21">
        <v>1686500</v>
      </c>
      <c r="E8" s="21">
        <v>2361100</v>
      </c>
      <c r="F8" s="21">
        <v>1011900</v>
      </c>
    </row>
    <row r="9" spans="2:6" ht="16.5">
      <c r="B9" s="10" t="s">
        <v>45</v>
      </c>
      <c r="C9" s="10"/>
      <c r="D9" s="10"/>
      <c r="E9" s="10"/>
      <c r="F9" s="10"/>
    </row>
    <row r="10" spans="2:6" ht="16.5">
      <c r="B10" s="10" t="s">
        <v>46</v>
      </c>
      <c r="C10" s="10"/>
      <c r="D10" s="10"/>
      <c r="E10" s="10"/>
      <c r="F10" s="10"/>
    </row>
    <row r="11" spans="2:6" ht="16.5">
      <c r="B11" s="10" t="s">
        <v>47</v>
      </c>
      <c r="C11" s="10"/>
      <c r="D11" s="10"/>
      <c r="E11" s="10"/>
      <c r="F11" s="10"/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0"/>
  <sheetViews>
    <sheetView topLeftCell="A13" zoomScaleNormal="100" workbookViewId="0">
      <selection activeCell="B17" sqref="B17:G25"/>
    </sheetView>
  </sheetViews>
  <sheetFormatPr defaultRowHeight="14.25"/>
  <cols>
    <col min="1" max="1" width="3" customWidth="1"/>
    <col min="2" max="2" width="20" customWidth="1"/>
    <col min="3" max="4" width="17" customWidth="1"/>
    <col min="5" max="5" width="20" customWidth="1"/>
    <col min="6" max="6" width="18" customWidth="1"/>
    <col min="7" max="7" width="21" customWidth="1"/>
    <col min="8" max="9" width="3" customWidth="1"/>
  </cols>
  <sheetData>
    <row r="1" spans="1:9" ht="30" customHeight="1">
      <c r="A1" s="2"/>
      <c r="B1" s="27" t="s">
        <v>17</v>
      </c>
      <c r="C1" s="28"/>
      <c r="D1" s="28"/>
      <c r="E1" s="28"/>
      <c r="F1" s="28"/>
      <c r="G1" s="28"/>
      <c r="H1" s="2"/>
      <c r="I1" s="2"/>
    </row>
    <row r="2" spans="1:9" ht="30" customHeight="1">
      <c r="A2" s="2"/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2"/>
      <c r="I2" s="2"/>
    </row>
    <row r="3" spans="1:9" ht="30" customHeight="1">
      <c r="A3" s="2"/>
      <c r="B3" s="2" t="s">
        <v>24</v>
      </c>
      <c r="C3" s="2">
        <v>10</v>
      </c>
      <c r="D3" s="5">
        <v>1150000</v>
      </c>
      <c r="E3" s="5">
        <f t="shared" ref="E3:E11" si="0">C3*D3</f>
        <v>11500000</v>
      </c>
      <c r="F3" s="7">
        <f t="shared" ref="F3:F11" si="1">C3*$G$14</f>
        <v>0.5</v>
      </c>
      <c r="G3" s="5">
        <f t="shared" ref="G3:G11" si="2">E3*$G$14</f>
        <v>575000</v>
      </c>
      <c r="H3" s="2"/>
      <c r="I3" s="2"/>
    </row>
    <row r="4" spans="1:9" ht="30" customHeight="1">
      <c r="A4" s="2"/>
      <c r="B4" s="2" t="s">
        <v>25</v>
      </c>
      <c r="C4" s="2">
        <v>20</v>
      </c>
      <c r="D4" s="5">
        <v>250000</v>
      </c>
      <c r="E4" s="5">
        <f t="shared" si="0"/>
        <v>5000000</v>
      </c>
      <c r="F4" s="7">
        <f t="shared" si="1"/>
        <v>1</v>
      </c>
      <c r="G4" s="5">
        <f t="shared" si="2"/>
        <v>250000</v>
      </c>
      <c r="H4" s="2"/>
      <c r="I4" s="2"/>
    </row>
    <row r="5" spans="1:9" ht="30" customHeight="1">
      <c r="A5" s="2"/>
      <c r="B5" s="2" t="s">
        <v>26</v>
      </c>
      <c r="C5" s="2">
        <v>8</v>
      </c>
      <c r="D5" s="5">
        <v>350000</v>
      </c>
      <c r="E5" s="5">
        <f t="shared" si="0"/>
        <v>2800000</v>
      </c>
      <c r="F5" s="7">
        <f t="shared" si="1"/>
        <v>0.4</v>
      </c>
      <c r="G5" s="5">
        <f t="shared" si="2"/>
        <v>140000</v>
      </c>
      <c r="H5" s="2"/>
      <c r="I5" s="2"/>
    </row>
    <row r="6" spans="1:9" ht="30" customHeight="1">
      <c r="A6" s="2"/>
      <c r="B6" s="2" t="s">
        <v>27</v>
      </c>
      <c r="C6" s="2">
        <v>50</v>
      </c>
      <c r="D6" s="5">
        <v>30000</v>
      </c>
      <c r="E6" s="5">
        <f t="shared" si="0"/>
        <v>1500000</v>
      </c>
      <c r="F6" s="7">
        <f t="shared" si="1"/>
        <v>2.5</v>
      </c>
      <c r="G6" s="5">
        <f t="shared" si="2"/>
        <v>75000</v>
      </c>
      <c r="H6" s="2"/>
      <c r="I6" s="2"/>
    </row>
    <row r="7" spans="1:9" ht="30" customHeight="1">
      <c r="A7" s="2"/>
      <c r="B7" s="2" t="s">
        <v>28</v>
      </c>
      <c r="C7" s="2">
        <v>60</v>
      </c>
      <c r="D7" s="5">
        <v>20000</v>
      </c>
      <c r="E7" s="5">
        <f t="shared" si="0"/>
        <v>1200000</v>
      </c>
      <c r="F7" s="7">
        <f t="shared" si="1"/>
        <v>3</v>
      </c>
      <c r="G7" s="5">
        <f t="shared" si="2"/>
        <v>60000</v>
      </c>
      <c r="H7" s="2"/>
      <c r="I7" s="2"/>
    </row>
    <row r="8" spans="1:9" ht="30" customHeight="1">
      <c r="A8" s="2"/>
      <c r="B8" s="2" t="s">
        <v>29</v>
      </c>
      <c r="C8" s="2">
        <v>25</v>
      </c>
      <c r="D8" s="5">
        <v>90000</v>
      </c>
      <c r="E8" s="5">
        <f t="shared" si="0"/>
        <v>2250000</v>
      </c>
      <c r="F8" s="7">
        <f t="shared" si="1"/>
        <v>1.25</v>
      </c>
      <c r="G8" s="5">
        <f t="shared" si="2"/>
        <v>112500</v>
      </c>
      <c r="H8" s="2"/>
      <c r="I8" s="2"/>
    </row>
    <row r="9" spans="1:9" ht="30" customHeight="1">
      <c r="A9" s="2"/>
      <c r="B9" s="2" t="s">
        <v>30</v>
      </c>
      <c r="C9" s="2">
        <v>12</v>
      </c>
      <c r="D9" s="5">
        <v>85000</v>
      </c>
      <c r="E9" s="5">
        <f t="shared" si="0"/>
        <v>1020000</v>
      </c>
      <c r="F9" s="7">
        <f t="shared" si="1"/>
        <v>0.60000000000000009</v>
      </c>
      <c r="G9" s="5">
        <f t="shared" si="2"/>
        <v>51000</v>
      </c>
      <c r="H9" s="2"/>
      <c r="I9" s="2"/>
    </row>
    <row r="10" spans="1:9" ht="30" customHeight="1">
      <c r="A10" s="2"/>
      <c r="B10" s="2" t="s">
        <v>31</v>
      </c>
      <c r="C10" s="2">
        <v>18</v>
      </c>
      <c r="D10" s="5">
        <v>320000</v>
      </c>
      <c r="E10" s="5">
        <f t="shared" si="0"/>
        <v>5760000</v>
      </c>
      <c r="F10" s="7">
        <f t="shared" si="1"/>
        <v>0.9</v>
      </c>
      <c r="G10" s="5">
        <f t="shared" si="2"/>
        <v>288000</v>
      </c>
      <c r="H10" s="2"/>
      <c r="I10" s="2"/>
    </row>
    <row r="11" spans="1:9" ht="30" customHeight="1">
      <c r="A11" s="2"/>
      <c r="B11" s="2" t="s">
        <v>32</v>
      </c>
      <c r="C11" s="2">
        <v>18</v>
      </c>
      <c r="D11" s="5">
        <v>150000</v>
      </c>
      <c r="E11" s="5">
        <f t="shared" si="0"/>
        <v>2700000</v>
      </c>
      <c r="F11" s="7">
        <f t="shared" si="1"/>
        <v>0.9</v>
      </c>
      <c r="G11" s="5">
        <f t="shared" si="2"/>
        <v>135000</v>
      </c>
      <c r="H11" s="2"/>
      <c r="I11" s="2"/>
    </row>
    <row r="12" spans="1:9" ht="30" customHeight="1">
      <c r="A12" s="2"/>
      <c r="B12" s="3" t="s">
        <v>33</v>
      </c>
      <c r="C12" s="3"/>
      <c r="D12" s="6"/>
      <c r="E12" s="6">
        <f>SUM(E3:E11)</f>
        <v>33730000</v>
      </c>
      <c r="F12" s="3"/>
      <c r="G12" s="6">
        <f>SUM(G3:G11)</f>
        <v>1686500</v>
      </c>
      <c r="H12" s="2"/>
      <c r="I12" s="2"/>
    </row>
    <row r="13" spans="1:9" ht="30" customHeight="1">
      <c r="A13" s="2"/>
      <c r="B13" s="2"/>
      <c r="C13" s="2"/>
      <c r="D13" s="2"/>
      <c r="E13" s="2"/>
      <c r="F13" s="2"/>
      <c r="G13" s="2"/>
      <c r="H13" s="2"/>
      <c r="I13" s="2"/>
    </row>
    <row r="14" spans="1:9" ht="30" customHeight="1">
      <c r="A14" s="2"/>
      <c r="B14" s="2"/>
      <c r="C14" s="2"/>
      <c r="D14" s="2"/>
      <c r="E14" s="2"/>
      <c r="F14" s="2" t="s">
        <v>34</v>
      </c>
      <c r="G14" s="8">
        <v>0.05</v>
      </c>
      <c r="H14" s="2"/>
      <c r="I14" s="2"/>
    </row>
    <row r="15" spans="1:9" ht="30" customHeight="1">
      <c r="A15" s="2"/>
      <c r="B15" s="2"/>
      <c r="C15" s="2"/>
      <c r="D15" s="2"/>
      <c r="E15" s="2"/>
      <c r="F15" s="2"/>
      <c r="G15" s="2"/>
      <c r="H15" s="2"/>
      <c r="I15" s="2"/>
    </row>
    <row r="16" spans="1:9" ht="30" customHeight="1">
      <c r="A16" s="2"/>
      <c r="B16" s="2"/>
      <c r="C16" s="2"/>
      <c r="D16" s="2"/>
      <c r="E16" s="2"/>
      <c r="F16" s="2"/>
      <c r="G16" s="2"/>
      <c r="H16" s="2"/>
      <c r="I16" s="2"/>
    </row>
    <row r="17" spans="1:9" ht="30" customHeight="1">
      <c r="A17" s="2"/>
      <c r="B17" s="29" t="s">
        <v>48</v>
      </c>
      <c r="C17" s="2"/>
      <c r="D17" s="2"/>
      <c r="E17" s="2"/>
      <c r="F17" s="2"/>
      <c r="G17" s="2"/>
      <c r="H17" s="2"/>
      <c r="I17" s="2"/>
    </row>
    <row r="18" spans="1:9" ht="30" customHeight="1">
      <c r="A18" s="2"/>
      <c r="B18" s="30" t="s">
        <v>49</v>
      </c>
      <c r="C18" s="2"/>
      <c r="D18" s="2"/>
      <c r="E18" s="2"/>
      <c r="F18" s="2"/>
      <c r="G18" s="2"/>
      <c r="H18" s="2"/>
      <c r="I18" s="2"/>
    </row>
    <row r="19" spans="1:9" ht="30" customHeight="1">
      <c r="A19" s="2"/>
      <c r="B19" s="30" t="s">
        <v>50</v>
      </c>
      <c r="C19" s="2"/>
      <c r="D19" s="2"/>
      <c r="E19" s="2"/>
      <c r="F19" s="2"/>
      <c r="G19" s="2"/>
      <c r="H19" s="2"/>
      <c r="I19" s="2"/>
    </row>
    <row r="20" spans="1:9" ht="30" customHeight="1">
      <c r="A20" s="2"/>
      <c r="B20" s="30" t="s">
        <v>51</v>
      </c>
      <c r="C20" s="2"/>
      <c r="D20" s="2"/>
      <c r="E20" s="2"/>
      <c r="F20" s="2"/>
      <c r="G20" s="2"/>
      <c r="H20" s="2"/>
      <c r="I20" s="2"/>
    </row>
    <row r="21" spans="1:9" ht="30" customHeight="1">
      <c r="A21" s="2"/>
      <c r="B21" s="30" t="s">
        <v>52</v>
      </c>
      <c r="C21" s="2"/>
      <c r="D21" s="2"/>
      <c r="E21" s="2"/>
      <c r="F21" s="2"/>
      <c r="G21" s="2"/>
      <c r="H21" s="2"/>
      <c r="I21" s="2"/>
    </row>
    <row r="22" spans="1:9" ht="30" customHeight="1">
      <c r="A22" s="2"/>
      <c r="B22" s="26"/>
      <c r="C22" s="26"/>
      <c r="D22" s="26"/>
      <c r="E22" s="26"/>
      <c r="F22" s="26"/>
      <c r="G22" s="26"/>
      <c r="H22" s="2"/>
      <c r="I22" s="2"/>
    </row>
    <row r="23" spans="1:9" ht="30" customHeight="1">
      <c r="A23" s="2"/>
      <c r="B23" s="9"/>
      <c r="C23" s="9"/>
      <c r="D23" s="9"/>
      <c r="E23" s="9"/>
      <c r="F23" s="9"/>
      <c r="G23" s="9"/>
      <c r="H23" s="2"/>
      <c r="I23" s="2"/>
    </row>
    <row r="24" spans="1:9" ht="30" customHeight="1">
      <c r="A24" s="2"/>
      <c r="B24" s="26"/>
      <c r="C24" s="26"/>
      <c r="D24" s="26"/>
      <c r="E24" s="26"/>
      <c r="F24" s="26"/>
      <c r="G24" s="26"/>
      <c r="H24" s="2"/>
      <c r="I24" s="2"/>
    </row>
    <row r="25" spans="1:9" ht="30" customHeight="1">
      <c r="A25" s="2"/>
      <c r="B25" s="26" t="s">
        <v>35</v>
      </c>
      <c r="C25" s="26"/>
      <c r="D25" s="26"/>
      <c r="E25" s="26"/>
      <c r="F25" s="26"/>
      <c r="G25" s="26"/>
      <c r="H25" s="2"/>
      <c r="I25" s="2"/>
    </row>
    <row r="26" spans="1:9" ht="30" customHeight="1">
      <c r="A26" s="2"/>
      <c r="B26" s="9"/>
      <c r="C26" s="9"/>
      <c r="D26" s="9"/>
      <c r="E26" s="9"/>
      <c r="F26" s="9"/>
      <c r="G26" s="9"/>
      <c r="H26" s="2"/>
      <c r="I26" s="2"/>
    </row>
    <row r="27" spans="1:9" ht="36" customHeight="1">
      <c r="A27" s="2"/>
      <c r="B27" s="26"/>
      <c r="C27" s="26"/>
      <c r="D27" s="26"/>
      <c r="E27" s="26"/>
      <c r="F27" s="26"/>
      <c r="G27" s="26"/>
      <c r="H27" s="2"/>
      <c r="I27" s="2"/>
    </row>
    <row r="28" spans="1:9" ht="36" customHeight="1">
      <c r="A28" s="2"/>
      <c r="B28" s="26"/>
      <c r="C28" s="26"/>
      <c r="D28" s="26"/>
      <c r="E28" s="26"/>
      <c r="F28" s="26"/>
      <c r="G28" s="26"/>
      <c r="H28" s="2"/>
      <c r="I28" s="2"/>
    </row>
    <row r="29" spans="1:9" ht="36" customHeight="1">
      <c r="A29" s="2"/>
      <c r="B29" s="26"/>
      <c r="C29" s="26"/>
      <c r="D29" s="26"/>
      <c r="E29" s="26"/>
      <c r="F29" s="26"/>
      <c r="G29" s="26"/>
      <c r="H29" s="2"/>
      <c r="I29" s="2"/>
    </row>
    <row r="30" spans="1:9" ht="30" customHeight="1">
      <c r="A30" s="2"/>
      <c r="B30" s="2"/>
      <c r="C30" s="2"/>
      <c r="D30" s="2"/>
      <c r="E30" s="2"/>
      <c r="F30" s="2"/>
      <c r="G30" s="2"/>
      <c r="H30" s="2"/>
      <c r="I30" s="2"/>
    </row>
  </sheetData>
  <scenarios current="0" show="0" sqref="G12">
    <scenario name="불량률증가" locked="1" count="1" user="jong park" comment="학습용 불량률 7%">
      <inputCells r="G14" val="0.07"/>
    </scenario>
    <scenario name="불량률감소" locked="1" count="1" user="jong park" comment="학습용 불량률 3%">
      <inputCells r="G14" val="0.03"/>
    </scenario>
  </scenarios>
  <mergeCells count="7">
    <mergeCell ref="B28:G28"/>
    <mergeCell ref="B29:G29"/>
    <mergeCell ref="B1:G1"/>
    <mergeCell ref="B22:G22"/>
    <mergeCell ref="B24:G24"/>
    <mergeCell ref="B25:G25"/>
    <mergeCell ref="B27:G27"/>
  </mergeCells>
  <phoneticPr fontId="5" type="noConversion"/>
  <pageMargins left="0.7" right="0.7" top="0.75" bottom="0.75" header="0.3" footer="0.3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6</vt:i4>
      </vt:variant>
    </vt:vector>
  </HeadingPairs>
  <TitlesOfParts>
    <vt:vector size="10" baseType="lpstr">
      <vt:lpstr>사용안내</vt:lpstr>
      <vt:lpstr>시나리오_실습</vt:lpstr>
      <vt:lpstr>시나리오 요약보고서</vt:lpstr>
      <vt:lpstr>시나리오</vt:lpstr>
      <vt:lpstr>사용안내!Print_Area</vt:lpstr>
      <vt:lpstr>시나리오!Print_Area</vt:lpstr>
      <vt:lpstr>'시나리오 요약보고서'!Print_Area</vt:lpstr>
      <vt:lpstr>시나리오_실습!Print_Area</vt:lpstr>
      <vt:lpstr>불량률</vt:lpstr>
      <vt:lpstr>손실금액합계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jong park</cp:lastModifiedBy>
  <dcterms:modified xsi:type="dcterms:W3CDTF">2026-10-09T04:09:57Z</dcterms:modified>
</cp:coreProperties>
</file>